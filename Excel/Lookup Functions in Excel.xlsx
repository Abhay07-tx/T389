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06981A97-B33D-4F8D-97DE-F3FB42635C4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ookup " sheetId="1" r:id="rId1"/>
    <sheet name="Vlookup" sheetId="2" r:id="rId2"/>
    <sheet name="Sheet1" sheetId="6" r:id="rId3"/>
    <sheet name="DYNAMIC Vlookup" sheetId="3" r:id="rId4"/>
    <sheet name="HLOOKUP" sheetId="4" r:id="rId5"/>
    <sheet name="INDEX AND MATCH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tRUc0uq50O5CKycdWuVJF/yAoGksLAugBnuz6Ve3zRU="/>
    </ext>
  </extLst>
</workbook>
</file>

<file path=xl/calcChain.xml><?xml version="1.0" encoding="utf-8"?>
<calcChain xmlns="http://schemas.openxmlformats.org/spreadsheetml/2006/main">
  <c r="I15" i="5" l="1"/>
  <c r="I16" i="5"/>
  <c r="I17" i="5"/>
  <c r="I18" i="5"/>
  <c r="I19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K14" i="5"/>
  <c r="I7" i="5"/>
  <c r="I8" i="5"/>
  <c r="I9" i="5"/>
  <c r="I10" i="5"/>
  <c r="I6" i="5"/>
  <c r="K15" i="5"/>
  <c r="K16" i="5"/>
  <c r="K17" i="5"/>
  <c r="K18" i="5"/>
  <c r="K19" i="5"/>
  <c r="D12" i="4"/>
  <c r="D13" i="4"/>
  <c r="D14" i="4"/>
  <c r="D15" i="4"/>
  <c r="D16" i="4"/>
  <c r="D17" i="4"/>
  <c r="D18" i="4"/>
  <c r="C11" i="4"/>
  <c r="C12" i="4"/>
  <c r="C13" i="4"/>
  <c r="C14" i="4"/>
  <c r="C15" i="4"/>
  <c r="C16" i="4"/>
  <c r="C17" i="4"/>
  <c r="C18" i="4"/>
  <c r="C10" i="4"/>
  <c r="I5" i="3"/>
  <c r="I8" i="4"/>
  <c r="K15" i="6"/>
  <c r="K16" i="6"/>
  <c r="K17" i="6"/>
  <c r="K18" i="6"/>
  <c r="K14" i="6"/>
  <c r="L6" i="6"/>
  <c r="L7" i="6"/>
  <c r="L8" i="6"/>
  <c r="L9" i="6"/>
  <c r="L10" i="6"/>
  <c r="K6" i="6"/>
  <c r="K10" i="6"/>
  <c r="K9" i="6"/>
  <c r="K8" i="6"/>
  <c r="K7" i="6"/>
  <c r="J10" i="2"/>
  <c r="J8" i="2"/>
  <c r="J9" i="2"/>
  <c r="J12" i="2"/>
  <c r="J11" i="2"/>
  <c r="J24" i="4" l="1"/>
  <c r="I24" i="4"/>
  <c r="H24" i="4"/>
  <c r="G24" i="4"/>
  <c r="F24" i="4"/>
  <c r="E24" i="4"/>
  <c r="D24" i="4"/>
  <c r="I4" i="2"/>
</calcChain>
</file>

<file path=xl/sharedStrings.xml><?xml version="1.0" encoding="utf-8"?>
<sst xmlns="http://schemas.openxmlformats.org/spreadsheetml/2006/main" count="464" uniqueCount="98">
  <si>
    <t xml:space="preserve"> The LOOKUP function in Excel searches a value in one column or row and returns a matching value from the same position in another column or row.</t>
  </si>
  <si>
    <r>
      <rPr>
        <b/>
        <sz val="11"/>
        <color theme="1"/>
        <rFont val="Calibri"/>
      </rPr>
      <t>The syntax of the vector Lookup is as follows:
LOOKUP(lookup_value, lookup_vector, [result_vector])</t>
    </r>
    <r>
      <rPr>
        <sz val="11"/>
        <color theme="1"/>
        <rFont val="Calibri"/>
      </rPr>
      <t xml:space="preserve">
</t>
    </r>
  </si>
  <si>
    <r>
      <rPr>
        <b/>
        <sz val="11"/>
        <color theme="1"/>
        <rFont val="Calibri"/>
      </rPr>
      <t>Where: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Lookup_value (required) </t>
    </r>
    <r>
      <rPr>
        <sz val="11"/>
        <color theme="1"/>
        <rFont val="Calibri"/>
      </rPr>
      <t xml:space="preserve">- a value to search for. It can be a number, text, logical value of TRUE or FALSE, or a reference to a cell containing the lookup value.
</t>
    </r>
    <r>
      <rPr>
        <b/>
        <sz val="11"/>
        <color theme="1"/>
        <rFont val="Calibri"/>
      </rPr>
      <t>Lookup_vector (required) -</t>
    </r>
    <r>
      <rPr>
        <sz val="11"/>
        <color theme="1"/>
        <rFont val="Calibri"/>
      </rPr>
      <t xml:space="preserve"> one-row or one-column range to be searched. It must be sorted in ascending order.
</t>
    </r>
    <r>
      <rPr>
        <b/>
        <sz val="11"/>
        <color theme="1"/>
        <rFont val="Calibri"/>
      </rPr>
      <t>Result_vector (optional) -</t>
    </r>
    <r>
      <rPr>
        <sz val="11"/>
        <color theme="1"/>
        <rFont val="Calibri"/>
      </rPr>
      <t xml:space="preserve"> one-row or one-column range from which you want to return the result - a value in the same position as the lookup value. Result_vector must be the same size as lookup_range. If omitted, the result is returned from lookup_vector.</t>
    </r>
  </si>
  <si>
    <t>Vertical Lookup formula - search in one-column range</t>
  </si>
  <si>
    <t>Seller</t>
  </si>
  <si>
    <t>Products</t>
  </si>
  <si>
    <t>Product</t>
  </si>
  <si>
    <t>Akash</t>
  </si>
  <si>
    <t>Banana</t>
  </si>
  <si>
    <t>Pratik</t>
  </si>
  <si>
    <t>Apple</t>
  </si>
  <si>
    <t>neha</t>
  </si>
  <si>
    <t>Mango</t>
  </si>
  <si>
    <t>Nidhi</t>
  </si>
  <si>
    <t>Oranges</t>
  </si>
  <si>
    <t>Horizontal Lookup formula - search in one-row range</t>
  </si>
  <si>
    <t>If your source data has a horizontal layout, i.e. the entries reside in rows rather than columns, then supply a one-row range in the lookup_vector and result_vector arguments, like this</t>
  </si>
  <si>
    <t>A VLOOKUP function exists of 4 components:
The value you want to look up;
The range in which you want to find the value and the return value;
The number of the column within your defined range, that contains the return value;
0 or FALSE for an exact match with the value your are looking for; 1 or TRUE for an approximate match.
Syntax: VLOOKUP([value], [range], [column number], [false or true])</t>
  </si>
  <si>
    <t>VLOOKUP</t>
  </si>
  <si>
    <t>ID</t>
  </si>
  <si>
    <t>First</t>
  </si>
  <si>
    <t>Last</t>
  </si>
  <si>
    <t>Start</t>
  </si>
  <si>
    <t>Department</t>
  </si>
  <si>
    <t>Group</t>
  </si>
  <si>
    <t>Janet</t>
  </si>
  <si>
    <t>McFadden</t>
  </si>
  <si>
    <t>Fulfilment</t>
  </si>
  <si>
    <t>B</t>
  </si>
  <si>
    <t>Vlookup</t>
  </si>
  <si>
    <t>Steven</t>
  </si>
  <si>
    <t>Batista</t>
  </si>
  <si>
    <t>Sales</t>
  </si>
  <si>
    <t>A</t>
  </si>
  <si>
    <t>Input</t>
  </si>
  <si>
    <t>Evelyn</t>
  </si>
  <si>
    <t>Monet</t>
  </si>
  <si>
    <t>Marliyn</t>
  </si>
  <si>
    <t>Stephens</t>
  </si>
  <si>
    <t>C</t>
  </si>
  <si>
    <t>Jon</t>
  </si>
  <si>
    <t>Addlngton</t>
  </si>
  <si>
    <t>marketing</t>
  </si>
  <si>
    <t>Adrian</t>
  </si>
  <si>
    <t>Birt</t>
  </si>
  <si>
    <t>Julie</t>
  </si>
  <si>
    <t>irons</t>
  </si>
  <si>
    <t>Erica</t>
  </si>
  <si>
    <t>Baisely</t>
  </si>
  <si>
    <t>Harold</t>
  </si>
  <si>
    <t>Calyon</t>
  </si>
  <si>
    <t>Sharyn</t>
  </si>
  <si>
    <t>Corriveau</t>
  </si>
  <si>
    <t>Support</t>
  </si>
  <si>
    <t>Leslee</t>
  </si>
  <si>
    <t>Mosley</t>
  </si>
  <si>
    <t>Wanda</t>
  </si>
  <si>
    <t>Menard</t>
  </si>
  <si>
    <t>Engineering</t>
  </si>
  <si>
    <t>Terry</t>
  </si>
  <si>
    <t>Robinson</t>
  </si>
  <si>
    <t>Richard</t>
  </si>
  <si>
    <t>Orland</t>
  </si>
  <si>
    <t>Rita</t>
  </si>
  <si>
    <t>Yeager</t>
  </si>
  <si>
    <t>Irene</t>
  </si>
  <si>
    <t>Bishop</t>
  </si>
  <si>
    <t>Mildred</t>
  </si>
  <si>
    <t>Shell</t>
  </si>
  <si>
    <t>Emma</t>
  </si>
  <si>
    <t>Spurlock</t>
  </si>
  <si>
    <t>Stier</t>
  </si>
  <si>
    <t>akash</t>
  </si>
  <si>
    <t>patil</t>
  </si>
  <si>
    <t xml:space="preserve">Match </t>
  </si>
  <si>
    <t>VLOOKUP WITH MATCH FUNCTION</t>
  </si>
  <si>
    <t>Name</t>
  </si>
  <si>
    <t>HLOOKUP</t>
  </si>
  <si>
    <t>Applebee</t>
  </si>
  <si>
    <t>Bueller</t>
  </si>
  <si>
    <t>Chung</t>
  </si>
  <si>
    <t>Comm %</t>
  </si>
  <si>
    <t>Crawford</t>
  </si>
  <si>
    <t>Joyce</t>
  </si>
  <si>
    <t>King</t>
  </si>
  <si>
    <t>MacDonald</t>
  </si>
  <si>
    <t>Richards</t>
  </si>
  <si>
    <t>Tanaka</t>
  </si>
  <si>
    <t>$ 1,50,000.00</t>
  </si>
  <si>
    <t>Comm% by  Hlookup</t>
  </si>
  <si>
    <t>Comm%</t>
  </si>
  <si>
    <t>Index with match</t>
  </si>
  <si>
    <t>Abhay</t>
  </si>
  <si>
    <t>IT return index of provided Table array.</t>
  </si>
  <si>
    <t>input</t>
  </si>
  <si>
    <t>product</t>
  </si>
  <si>
    <t>colum no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</si>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</sst>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m/d/yy;@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000000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2" borderId="5" xfId="0" applyFont="1" applyFill="1" applyBorder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5" fillId="3" borderId="9" xfId="0" applyFont="1" applyFill="1" applyBorder="1"/>
    <xf numFmtId="0" fontId="5" fillId="3" borderId="10" xfId="0" applyFont="1" applyFill="1" applyBorder="1"/>
    <xf numFmtId="0" fontId="5" fillId="3" borderId="11" xfId="0" applyFont="1" applyFill="1" applyBorder="1"/>
    <xf numFmtId="0" fontId="2" fillId="0" borderId="12" xfId="0" applyFont="1" applyBorder="1"/>
    <xf numFmtId="0" fontId="2" fillId="0" borderId="13" xfId="0" applyFont="1" applyBorder="1"/>
    <xf numFmtId="15" fontId="2" fillId="0" borderId="13" xfId="0" applyNumberFormat="1" applyFont="1" applyBorder="1"/>
    <xf numFmtId="0" fontId="2" fillId="0" borderId="14" xfId="0" applyFont="1" applyBorder="1"/>
    <xf numFmtId="0" fontId="5" fillId="3" borderId="16" xfId="0" applyFont="1" applyFill="1" applyBorder="1"/>
    <xf numFmtId="0" fontId="2" fillId="2" borderId="16" xfId="0" applyFont="1" applyFill="1" applyBorder="1"/>
    <xf numFmtId="0" fontId="2" fillId="0" borderId="16" xfId="0" applyFont="1" applyBorder="1"/>
    <xf numFmtId="14" fontId="2" fillId="0" borderId="16" xfId="0" applyNumberFormat="1" applyFont="1" applyBorder="1"/>
    <xf numFmtId="0" fontId="2" fillId="0" borderId="17" xfId="0" applyFont="1" applyBorder="1"/>
    <xf numFmtId="0" fontId="2" fillId="0" borderId="18" xfId="0" applyFont="1" applyBorder="1"/>
    <xf numFmtId="15" fontId="2" fillId="0" borderId="18" xfId="0" applyNumberFormat="1" applyFont="1" applyBorder="1"/>
    <xf numFmtId="0" fontId="2" fillId="0" borderId="19" xfId="0" applyFont="1" applyBorder="1"/>
    <xf numFmtId="0" fontId="2" fillId="0" borderId="20" xfId="0" applyFont="1" applyBorder="1"/>
    <xf numFmtId="0" fontId="5" fillId="3" borderId="5" xfId="0" applyFont="1" applyFill="1" applyBorder="1"/>
    <xf numFmtId="0" fontId="6" fillId="0" borderId="0" xfId="0" applyFont="1"/>
    <xf numFmtId="15" fontId="2" fillId="0" borderId="16" xfId="0" applyNumberFormat="1" applyFont="1" applyBorder="1"/>
    <xf numFmtId="1" fontId="2" fillId="0" borderId="0" xfId="0" applyNumberFormat="1" applyFont="1"/>
    <xf numFmtId="9" fontId="6" fillId="0" borderId="0" xfId="0" applyNumberFormat="1" applyFont="1"/>
    <xf numFmtId="9" fontId="2" fillId="0" borderId="0" xfId="0" applyNumberFormat="1" applyFont="1"/>
    <xf numFmtId="2" fontId="2" fillId="0" borderId="0" xfId="0" applyNumberFormat="1" applyFont="1"/>
    <xf numFmtId="0" fontId="3" fillId="4" borderId="21" xfId="0" applyFont="1" applyFill="1" applyBorder="1" applyAlignment="1">
      <alignment horizontal="center" wrapText="1"/>
    </xf>
    <xf numFmtId="2" fontId="2" fillId="0" borderId="22" xfId="0" applyNumberFormat="1" applyFont="1" applyBorder="1" applyAlignment="1">
      <alignment horizontal="right" wrapText="1"/>
    </xf>
    <xf numFmtId="2" fontId="2" fillId="0" borderId="22" xfId="0" applyNumberFormat="1" applyFont="1" applyBorder="1" applyAlignment="1">
      <alignment wrapText="1"/>
    </xf>
    <xf numFmtId="2" fontId="2" fillId="0" borderId="23" xfId="0" applyNumberFormat="1" applyFont="1" applyBorder="1" applyAlignment="1">
      <alignment vertical="center"/>
    </xf>
    <xf numFmtId="0" fontId="3" fillId="4" borderId="24" xfId="0" applyFont="1" applyFill="1" applyBorder="1" applyAlignment="1">
      <alignment horizontal="center" wrapText="1"/>
    </xf>
    <xf numFmtId="9" fontId="2" fillId="0" borderId="16" xfId="0" applyNumberFormat="1" applyFont="1" applyBorder="1" applyAlignment="1">
      <alignment horizontal="center" wrapText="1"/>
    </xf>
    <xf numFmtId="9" fontId="2" fillId="0" borderId="25" xfId="0" applyNumberFormat="1" applyFont="1" applyBorder="1" applyAlignment="1">
      <alignment horizontal="center" wrapText="1"/>
    </xf>
    <xf numFmtId="0" fontId="2" fillId="0" borderId="26" xfId="0" applyFont="1" applyBorder="1" applyAlignment="1">
      <alignment wrapText="1"/>
    </xf>
    <xf numFmtId="9" fontId="2" fillId="0" borderId="27" xfId="0" applyNumberFormat="1" applyFont="1" applyBorder="1" applyAlignment="1">
      <alignment horizontal="center"/>
    </xf>
    <xf numFmtId="9" fontId="2" fillId="0" borderId="28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44" fontId="2" fillId="2" borderId="5" xfId="0" applyNumberFormat="1" applyFont="1" applyFill="1" applyBorder="1"/>
    <xf numFmtId="0" fontId="2" fillId="0" borderId="29" xfId="0" applyFont="1" applyBorder="1"/>
    <xf numFmtId="44" fontId="2" fillId="0" borderId="4" xfId="0" applyNumberFormat="1" applyFont="1" applyBorder="1"/>
    <xf numFmtId="44" fontId="2" fillId="0" borderId="30" xfId="0" applyNumberFormat="1" applyFont="1" applyBorder="1"/>
    <xf numFmtId="0" fontId="2" fillId="0" borderId="31" xfId="0" applyFont="1" applyBorder="1"/>
    <xf numFmtId="9" fontId="2" fillId="0" borderId="32" xfId="0" applyNumberFormat="1" applyFont="1" applyBorder="1"/>
    <xf numFmtId="0" fontId="6" fillId="0" borderId="0" xfId="0" applyFont="1" applyAlignment="1">
      <alignment vertical="center"/>
    </xf>
    <xf numFmtId="0" fontId="5" fillId="3" borderId="33" xfId="0" applyFont="1" applyFill="1" applyBorder="1"/>
    <xf numFmtId="0" fontId="8" fillId="0" borderId="15" xfId="0" applyFont="1" applyBorder="1" applyAlignment="1">
      <alignment horizontal="left"/>
    </xf>
    <xf numFmtId="0" fontId="2" fillId="0" borderId="5" xfId="0" applyFont="1" applyBorder="1"/>
    <xf numFmtId="164" fontId="2" fillId="0" borderId="16" xfId="0" applyNumberFormat="1" applyFont="1" applyBorder="1"/>
    <xf numFmtId="0" fontId="10" fillId="0" borderId="13" xfId="0" applyFont="1" applyBorder="1"/>
    <xf numFmtId="15" fontId="10" fillId="0" borderId="13" xfId="0" applyNumberFormat="1" applyFont="1" applyBorder="1"/>
    <xf numFmtId="0" fontId="1" fillId="0" borderId="0" xfId="0" applyFont="1"/>
    <xf numFmtId="0" fontId="9" fillId="5" borderId="0" xfId="0" applyFont="1" applyFill="1"/>
    <xf numFmtId="0" fontId="9" fillId="5" borderId="5" xfId="0" applyFont="1" applyFill="1" applyBorder="1"/>
    <xf numFmtId="0" fontId="10" fillId="2" borderId="5" xfId="0" applyFont="1" applyFill="1" applyBorder="1"/>
    <xf numFmtId="0" fontId="10" fillId="0" borderId="0" xfId="0" applyFont="1"/>
    <xf numFmtId="0" fontId="7" fillId="0" borderId="6" xfId="0" applyFont="1" applyBorder="1" applyAlignment="1">
      <alignment horizontal="center" wrapText="1"/>
    </xf>
    <xf numFmtId="0" fontId="4" fillId="0" borderId="8" xfId="0" applyFont="1" applyBorder="1"/>
    <xf numFmtId="0" fontId="7" fillId="2" borderId="6" xfId="0" applyFont="1" applyFill="1" applyBorder="1" applyAlignment="1">
      <alignment horizontal="center"/>
    </xf>
    <xf numFmtId="0" fontId="4" fillId="0" borderId="7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15" xfId="0" applyFont="1" applyBorder="1"/>
    <xf numFmtId="14" fontId="8" fillId="0" borderId="15" xfId="0" applyNumberFormat="1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\-mmm\-yy"/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A5A5A5"/>
          <bgColor rgb="FFA5A5A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YNAMIC Vlookup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E63715-AED8-4E4C-8660-19472FA9BE57}" name="xyz" displayName="xyz" ref="A1:F22" totalsRowShown="0" headerRowDxfId="8" dataDxfId="7" tableBorderDxfId="6">
  <autoFilter ref="A1:F22" xr:uid="{3AE63715-AED8-4E4C-8660-19472FA9BE57}"/>
  <tableColumns count="6">
    <tableColumn id="1" xr3:uid="{5CE30C5F-BE8A-433F-9160-D7901298C769}" name="ID" dataDxfId="5"/>
    <tableColumn id="2" xr3:uid="{66045031-EB47-459D-933F-B414B2206F72}" name="First" dataDxfId="4"/>
    <tableColumn id="3" xr3:uid="{00A5262C-1EF1-4490-A300-37A1463A7EFA}" name="Last" dataDxfId="3"/>
    <tableColumn id="4" xr3:uid="{94691D5E-DDC3-4E2C-B6A3-2CF1508D8F10}" name="Start" dataDxfId="2"/>
    <tableColumn id="5" xr3:uid="{EC90C6F6-BB02-46AA-96E7-55FDA0AB52FB}" name="Department" dataDxfId="1"/>
    <tableColumn id="6" xr3:uid="{A5BAB2F8-7031-488E-8DB2-42C6AA5D0760}" name="Group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ID"/>
    <tableColumn id="2" xr3:uid="{00000000-0010-0000-0000-000002000000}" name="First"/>
    <tableColumn id="3" xr3:uid="{00000000-0010-0000-0000-000003000000}" name="Last"/>
    <tableColumn id="4" xr3:uid="{00000000-0010-0000-0000-000004000000}" name="Start"/>
    <tableColumn id="5" xr3:uid="{00000000-0010-0000-0000-000005000000}" name="Department"/>
    <tableColumn id="6" xr3:uid="{00000000-0010-0000-0000-000006000000}" name="Group"/>
  </tableColumns>
  <tableStyleInfo name="DYNAMIC Vlooku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opLeftCell="A7" workbookViewId="0">
      <selection activeCell="B12" sqref="B12"/>
    </sheetView>
  </sheetViews>
  <sheetFormatPr defaultColWidth="14.44140625" defaultRowHeight="15" customHeight="1" x14ac:dyDescent="0.3"/>
  <cols>
    <col min="1" max="1" width="8.77734375" customWidth="1"/>
    <col min="2" max="2" width="31.44140625" customWidth="1"/>
    <col min="3" max="11" width="8.77734375" customWidth="1"/>
  </cols>
  <sheetData>
    <row r="2" spans="1:11" ht="14.4" x14ac:dyDescent="0.3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5" customHeight="1" x14ac:dyDescent="0.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ht="15" customHeight="1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</row>
    <row r="5" spans="1:11" ht="14.4" x14ac:dyDescent="0.3">
      <c r="A5" s="69" t="s">
        <v>1</v>
      </c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64.5" customHeight="1" x14ac:dyDescent="0.3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ht="110.25" customHeight="1" x14ac:dyDescent="0.3">
      <c r="A7" s="67" t="s">
        <v>2</v>
      </c>
      <c r="B7" s="68"/>
      <c r="C7" s="68"/>
      <c r="D7" s="68"/>
      <c r="E7" s="68"/>
      <c r="F7" s="68"/>
      <c r="G7" s="68"/>
      <c r="H7" s="68"/>
      <c r="I7" s="68"/>
      <c r="J7" s="68"/>
      <c r="K7" s="68"/>
    </row>
    <row r="8" spans="1:11" ht="14.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7" customHeight="1" x14ac:dyDescent="0.3">
      <c r="A9" s="62" t="s">
        <v>3</v>
      </c>
      <c r="B9" s="63"/>
      <c r="C9" s="63"/>
      <c r="D9" s="63"/>
      <c r="E9" s="63"/>
      <c r="F9" s="63"/>
      <c r="G9" s="63"/>
      <c r="H9" s="63"/>
      <c r="I9" s="63"/>
      <c r="J9" s="64"/>
    </row>
    <row r="10" spans="1:11" ht="32.25" customHeight="1" x14ac:dyDescent="0.3">
      <c r="A10" s="70"/>
      <c r="B10" s="66"/>
      <c r="C10" s="66"/>
      <c r="D10" s="66"/>
      <c r="E10" s="66"/>
      <c r="F10" s="66"/>
      <c r="G10" s="66"/>
      <c r="H10" s="66"/>
      <c r="I10" s="66"/>
      <c r="J10" s="66"/>
    </row>
    <row r="12" spans="1:11" ht="14.4" x14ac:dyDescent="0.3">
      <c r="A12" s="2" t="s">
        <v>4</v>
      </c>
      <c r="B12" s="3"/>
      <c r="C12" s="4" t="s">
        <v>4</v>
      </c>
      <c r="D12" s="4" t="s">
        <v>5</v>
      </c>
    </row>
    <row r="13" spans="1:11" ht="14.4" x14ac:dyDescent="0.3">
      <c r="A13" s="2" t="s">
        <v>6</v>
      </c>
      <c r="B13" s="3"/>
      <c r="C13" s="4" t="s">
        <v>7</v>
      </c>
      <c r="D13" s="4" t="s">
        <v>8</v>
      </c>
    </row>
    <row r="14" spans="1:11" ht="14.4" x14ac:dyDescent="0.3">
      <c r="C14" s="4" t="s">
        <v>9</v>
      </c>
      <c r="D14" s="4" t="s">
        <v>10</v>
      </c>
    </row>
    <row r="15" spans="1:11" ht="14.4" x14ac:dyDescent="0.3">
      <c r="C15" s="4" t="s">
        <v>11</v>
      </c>
      <c r="D15" s="4" t="s">
        <v>12</v>
      </c>
    </row>
    <row r="16" spans="1:11" ht="14.4" x14ac:dyDescent="0.3">
      <c r="C16" s="4" t="s">
        <v>13</v>
      </c>
      <c r="D16" s="4" t="s">
        <v>14</v>
      </c>
    </row>
    <row r="19" spans="1:10" ht="30.75" customHeight="1" x14ac:dyDescent="0.3">
      <c r="A19" s="62" t="s">
        <v>15</v>
      </c>
      <c r="B19" s="63"/>
      <c r="C19" s="63"/>
      <c r="D19" s="63"/>
      <c r="E19" s="63"/>
      <c r="F19" s="63"/>
      <c r="G19" s="63"/>
      <c r="H19" s="63"/>
      <c r="I19" s="63"/>
      <c r="J19" s="64"/>
    </row>
    <row r="20" spans="1:10" ht="54" customHeight="1" x14ac:dyDescent="0.3">
      <c r="A20" s="65" t="s">
        <v>16</v>
      </c>
      <c r="B20" s="66"/>
      <c r="C20" s="66"/>
      <c r="D20" s="66"/>
      <c r="E20" s="66"/>
      <c r="F20" s="66"/>
      <c r="G20" s="66"/>
      <c r="H20" s="66"/>
      <c r="I20" s="66"/>
      <c r="J20" s="66"/>
    </row>
    <row r="21" spans="1:10" ht="54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 x14ac:dyDescent="0.3">
      <c r="A22" s="2" t="s">
        <v>4</v>
      </c>
      <c r="B22" s="3"/>
      <c r="D22" s="2" t="s">
        <v>4</v>
      </c>
      <c r="E22" s="4" t="s">
        <v>7</v>
      </c>
      <c r="F22" s="4" t="s">
        <v>9</v>
      </c>
      <c r="G22" s="4" t="s">
        <v>11</v>
      </c>
      <c r="H22" s="4" t="s">
        <v>13</v>
      </c>
    </row>
    <row r="23" spans="1:10" ht="15.75" customHeight="1" x14ac:dyDescent="0.3">
      <c r="A23" s="2" t="s">
        <v>6</v>
      </c>
      <c r="B23" s="3"/>
      <c r="D23" s="2" t="s">
        <v>5</v>
      </c>
      <c r="E23" s="4" t="s">
        <v>8</v>
      </c>
      <c r="F23" s="4" t="s">
        <v>10</v>
      </c>
      <c r="G23" s="4" t="s">
        <v>12</v>
      </c>
      <c r="H23" s="4" t="s">
        <v>14</v>
      </c>
    </row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A19:J19"/>
    <mergeCell ref="A20:J20"/>
    <mergeCell ref="A2:K4"/>
    <mergeCell ref="A5:K6"/>
    <mergeCell ref="A7:K7"/>
    <mergeCell ref="A9:J9"/>
    <mergeCell ref="A10:J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A3" workbookViewId="0">
      <selection activeCell="M12" sqref="M12"/>
    </sheetView>
  </sheetViews>
  <sheetFormatPr defaultColWidth="14.44140625" defaultRowHeight="15" customHeight="1" x14ac:dyDescent="0.3"/>
  <cols>
    <col min="1" max="2" width="10.77734375" customWidth="1"/>
    <col min="3" max="3" width="10.21875" customWidth="1"/>
    <col min="4" max="4" width="10.109375" customWidth="1"/>
    <col min="5" max="5" width="13.21875" customWidth="1"/>
    <col min="6" max="7" width="8.77734375" customWidth="1"/>
    <col min="8" max="8" width="12.77734375" customWidth="1"/>
    <col min="9" max="9" width="11.77734375" customWidth="1"/>
    <col min="10" max="10" width="11.21875" customWidth="1"/>
    <col min="11" max="12" width="8.77734375" customWidth="1"/>
  </cols>
  <sheetData>
    <row r="1" spans="1:12" ht="14.4" x14ac:dyDescent="0.3">
      <c r="A1" s="71" t="s">
        <v>17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5" customHeight="1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ht="79.5" customHeight="1" x14ac:dyDescent="0.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ht="15" customHeight="1" x14ac:dyDescent="0.3">
      <c r="H4" s="2" t="s">
        <v>18</v>
      </c>
      <c r="I4" s="72" t="str">
        <f>VLOOKUP(610,A5:F24,6,FALSE)</f>
        <v>B</v>
      </c>
      <c r="J4" s="61"/>
      <c r="K4" s="61"/>
      <c r="L4" s="59"/>
    </row>
    <row r="5" spans="1:12" ht="14.4" x14ac:dyDescent="0.3">
      <c r="A5" s="6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8" t="s">
        <v>24</v>
      </c>
    </row>
    <row r="6" spans="1:12" ht="14.4" x14ac:dyDescent="0.3">
      <c r="A6" s="9">
        <v>610</v>
      </c>
      <c r="B6" s="10" t="s">
        <v>25</v>
      </c>
      <c r="C6" s="10" t="s">
        <v>26</v>
      </c>
      <c r="D6" s="11">
        <v>39367</v>
      </c>
      <c r="E6" s="10" t="s">
        <v>27</v>
      </c>
      <c r="F6" s="12" t="s">
        <v>28</v>
      </c>
      <c r="I6" s="73" t="s">
        <v>29</v>
      </c>
      <c r="J6" s="74"/>
    </row>
    <row r="7" spans="1:12" ht="14.4" x14ac:dyDescent="0.3">
      <c r="A7" s="9">
        <v>798</v>
      </c>
      <c r="B7" s="10" t="s">
        <v>30</v>
      </c>
      <c r="C7" s="10" t="s">
        <v>31</v>
      </c>
      <c r="D7" s="11">
        <v>43077</v>
      </c>
      <c r="E7" s="10" t="s">
        <v>32</v>
      </c>
      <c r="F7" s="12" t="s">
        <v>33</v>
      </c>
      <c r="I7" s="13" t="s">
        <v>19</v>
      </c>
      <c r="J7" s="14">
        <v>100</v>
      </c>
      <c r="K7" s="4" t="s">
        <v>34</v>
      </c>
    </row>
    <row r="8" spans="1:12" ht="14.4" x14ac:dyDescent="0.3">
      <c r="A8" s="9">
        <v>841</v>
      </c>
      <c r="B8" s="10" t="s">
        <v>35</v>
      </c>
      <c r="C8" s="10" t="s">
        <v>36</v>
      </c>
      <c r="D8" s="11">
        <v>38007</v>
      </c>
      <c r="E8" s="10" t="s">
        <v>27</v>
      </c>
      <c r="F8" s="12" t="s">
        <v>28</v>
      </c>
      <c r="I8" s="13" t="s">
        <v>20</v>
      </c>
      <c r="J8" s="15" t="str">
        <f>VLOOKUP($J7,$A5:$F25,2,FALSE)</f>
        <v>akash</v>
      </c>
    </row>
    <row r="9" spans="1:12" ht="14.4" x14ac:dyDescent="0.3">
      <c r="A9" s="9">
        <v>886</v>
      </c>
      <c r="B9" s="10" t="s">
        <v>37</v>
      </c>
      <c r="C9" s="10" t="s">
        <v>38</v>
      </c>
      <c r="D9" s="11">
        <v>41447</v>
      </c>
      <c r="E9" s="10" t="s">
        <v>27</v>
      </c>
      <c r="F9" s="12" t="s">
        <v>39</v>
      </c>
      <c r="I9" s="13" t="s">
        <v>21</v>
      </c>
      <c r="J9" s="15" t="str">
        <f>VLOOKUP($J7,$A5:$F25,3,FALSE)</f>
        <v>patil</v>
      </c>
    </row>
    <row r="10" spans="1:12" ht="14.4" x14ac:dyDescent="0.3">
      <c r="A10" s="9">
        <v>622</v>
      </c>
      <c r="B10" s="10" t="s">
        <v>40</v>
      </c>
      <c r="C10" s="10" t="s">
        <v>41</v>
      </c>
      <c r="D10" s="11">
        <v>42977</v>
      </c>
      <c r="E10" s="10" t="s">
        <v>42</v>
      </c>
      <c r="F10" s="12" t="s">
        <v>33</v>
      </c>
      <c r="I10" s="13" t="s">
        <v>22</v>
      </c>
      <c r="J10" s="50">
        <f>VLOOKUP($J7,$A5:$F25,4,FALSE)</f>
        <v>39797</v>
      </c>
    </row>
    <row r="11" spans="1:12" ht="14.4" x14ac:dyDescent="0.3">
      <c r="A11" s="9">
        <v>601</v>
      </c>
      <c r="B11" s="10" t="s">
        <v>43</v>
      </c>
      <c r="C11" s="10" t="s">
        <v>44</v>
      </c>
      <c r="D11" s="11">
        <v>40340</v>
      </c>
      <c r="E11" s="10"/>
      <c r="F11" s="12" t="s">
        <v>39</v>
      </c>
      <c r="I11" s="13" t="s">
        <v>23</v>
      </c>
      <c r="J11" s="15" t="str">
        <f>VLOOKUP($J7,$A5:$F25,5,FALSE)</f>
        <v>Sales</v>
      </c>
    </row>
    <row r="12" spans="1:12" ht="14.4" x14ac:dyDescent="0.3">
      <c r="A12" s="9">
        <v>869</v>
      </c>
      <c r="B12" s="10" t="s">
        <v>45</v>
      </c>
      <c r="C12" s="10" t="s">
        <v>46</v>
      </c>
      <c r="D12" s="11">
        <v>41491</v>
      </c>
      <c r="E12" s="10" t="s">
        <v>42</v>
      </c>
      <c r="F12" s="12" t="s">
        <v>33</v>
      </c>
      <c r="I12" s="13" t="s">
        <v>24</v>
      </c>
      <c r="J12" s="15" t="str">
        <f>VLOOKUP($J7,$A5:$F25,6,FALSE)</f>
        <v>A</v>
      </c>
    </row>
    <row r="13" spans="1:12" ht="14.4" x14ac:dyDescent="0.3">
      <c r="A13" s="9">
        <v>867</v>
      </c>
      <c r="B13" s="10" t="s">
        <v>47</v>
      </c>
      <c r="C13" s="10" t="s">
        <v>48</v>
      </c>
      <c r="D13" s="11">
        <v>39646</v>
      </c>
      <c r="E13" s="10" t="s">
        <v>27</v>
      </c>
      <c r="F13" s="12" t="s">
        <v>28</v>
      </c>
    </row>
    <row r="14" spans="1:12" ht="14.4" x14ac:dyDescent="0.3">
      <c r="A14" s="9">
        <v>785</v>
      </c>
      <c r="B14" s="10" t="s">
        <v>49</v>
      </c>
      <c r="C14" s="10" t="s">
        <v>50</v>
      </c>
      <c r="D14" s="11">
        <v>40640</v>
      </c>
      <c r="E14" s="10" t="s">
        <v>27</v>
      </c>
      <c r="F14" s="12" t="s">
        <v>28</v>
      </c>
    </row>
    <row r="15" spans="1:12" ht="14.4" x14ac:dyDescent="0.3">
      <c r="A15" s="9">
        <v>648</v>
      </c>
      <c r="B15" s="10" t="s">
        <v>51</v>
      </c>
      <c r="C15" s="10" t="s">
        <v>52</v>
      </c>
      <c r="D15" s="11">
        <v>41893</v>
      </c>
      <c r="E15" s="10" t="s">
        <v>53</v>
      </c>
      <c r="F15" s="12" t="s">
        <v>28</v>
      </c>
    </row>
    <row r="16" spans="1:12" ht="14.4" x14ac:dyDescent="0.3">
      <c r="A16" s="9">
        <v>604</v>
      </c>
      <c r="B16" s="10" t="s">
        <v>54</v>
      </c>
      <c r="C16" s="10" t="s">
        <v>55</v>
      </c>
      <c r="D16" s="11">
        <v>42564</v>
      </c>
      <c r="E16" s="10" t="s">
        <v>32</v>
      </c>
      <c r="F16" s="12" t="s">
        <v>39</v>
      </c>
    </row>
    <row r="17" spans="1:6" ht="14.4" x14ac:dyDescent="0.3">
      <c r="A17" s="9">
        <v>352</v>
      </c>
      <c r="B17" s="10" t="s">
        <v>56</v>
      </c>
      <c r="C17" s="10" t="s">
        <v>57</v>
      </c>
      <c r="D17" s="11">
        <v>40537</v>
      </c>
      <c r="E17" s="10" t="s">
        <v>58</v>
      </c>
      <c r="F17" s="12" t="s">
        <v>39</v>
      </c>
    </row>
    <row r="18" spans="1:6" ht="14.4" x14ac:dyDescent="0.3">
      <c r="A18" s="9">
        <v>623</v>
      </c>
      <c r="B18" s="10" t="s">
        <v>59</v>
      </c>
      <c r="C18" s="10" t="s">
        <v>60</v>
      </c>
      <c r="D18" s="11">
        <v>39942</v>
      </c>
      <c r="E18" s="10" t="s">
        <v>32</v>
      </c>
      <c r="F18" s="12" t="s">
        <v>33</v>
      </c>
    </row>
    <row r="19" spans="1:6" ht="14.4" x14ac:dyDescent="0.3">
      <c r="A19" s="9">
        <v>428</v>
      </c>
      <c r="B19" s="10" t="s">
        <v>61</v>
      </c>
      <c r="C19" s="10" t="s">
        <v>62</v>
      </c>
      <c r="D19" s="11">
        <v>38296</v>
      </c>
      <c r="E19" s="10" t="s">
        <v>42</v>
      </c>
      <c r="F19" s="12" t="s">
        <v>33</v>
      </c>
    </row>
    <row r="20" spans="1:6" ht="14.4" x14ac:dyDescent="0.3">
      <c r="A20" s="9">
        <v>491</v>
      </c>
      <c r="B20" s="10" t="s">
        <v>63</v>
      </c>
      <c r="C20" s="10" t="s">
        <v>64</v>
      </c>
      <c r="D20" s="11">
        <v>42307</v>
      </c>
      <c r="E20" s="10" t="s">
        <v>32</v>
      </c>
      <c r="F20" s="12" t="s">
        <v>33</v>
      </c>
    </row>
    <row r="21" spans="1:6" ht="15.75" customHeight="1" x14ac:dyDescent="0.3">
      <c r="A21" s="9">
        <v>625</v>
      </c>
      <c r="B21" s="10" t="s">
        <v>65</v>
      </c>
      <c r="C21" s="10" t="s">
        <v>66</v>
      </c>
      <c r="D21" s="11">
        <v>40950</v>
      </c>
      <c r="E21" s="10" t="s">
        <v>27</v>
      </c>
      <c r="F21" s="12" t="s">
        <v>28</v>
      </c>
    </row>
    <row r="22" spans="1:6" ht="15.75" customHeight="1" x14ac:dyDescent="0.3">
      <c r="A22" s="9">
        <v>184</v>
      </c>
      <c r="B22" s="10" t="s">
        <v>67</v>
      </c>
      <c r="C22" s="10" t="s">
        <v>68</v>
      </c>
      <c r="D22" s="11">
        <v>37733</v>
      </c>
      <c r="E22" s="10" t="s">
        <v>32</v>
      </c>
      <c r="F22" s="12" t="s">
        <v>33</v>
      </c>
    </row>
    <row r="23" spans="1:6" ht="15.75" customHeight="1" x14ac:dyDescent="0.3">
      <c r="A23" s="9">
        <v>893</v>
      </c>
      <c r="B23" s="10" t="s">
        <v>69</v>
      </c>
      <c r="C23" s="10" t="s">
        <v>70</v>
      </c>
      <c r="D23" s="11">
        <v>39797</v>
      </c>
      <c r="E23" s="10" t="s">
        <v>32</v>
      </c>
      <c r="F23" s="12" t="s">
        <v>33</v>
      </c>
    </row>
    <row r="24" spans="1:6" ht="15.75" customHeight="1" x14ac:dyDescent="0.3">
      <c r="A24" s="17">
        <v>645</v>
      </c>
      <c r="B24" s="18" t="s">
        <v>45</v>
      </c>
      <c r="C24" s="18" t="s">
        <v>71</v>
      </c>
      <c r="D24" s="19">
        <v>39648</v>
      </c>
      <c r="E24" s="18" t="s">
        <v>27</v>
      </c>
      <c r="F24" s="20" t="s">
        <v>28</v>
      </c>
    </row>
    <row r="25" spans="1:6" ht="15.75" customHeight="1" x14ac:dyDescent="0.3">
      <c r="A25" s="21">
        <v>100</v>
      </c>
      <c r="B25" s="4" t="s">
        <v>72</v>
      </c>
      <c r="C25" s="4" t="s">
        <v>73</v>
      </c>
      <c r="D25" s="11">
        <v>39797</v>
      </c>
      <c r="E25" s="10" t="s">
        <v>32</v>
      </c>
      <c r="F25" s="12" t="s">
        <v>33</v>
      </c>
    </row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L3"/>
    <mergeCell ref="I4:L4"/>
    <mergeCell ref="I6:J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01A4-21FA-4772-846C-277BDF3D4B6D}">
  <dimension ref="A1:N22"/>
  <sheetViews>
    <sheetView workbookViewId="0">
      <selection activeCell="L13" sqref="L13"/>
    </sheetView>
  </sheetViews>
  <sheetFormatPr defaultRowHeight="14.4" x14ac:dyDescent="0.3"/>
  <cols>
    <col min="4" max="4" width="9.44140625" bestFit="1" customWidth="1"/>
    <col min="5" max="5" width="13" customWidth="1"/>
    <col min="11" max="11" width="9.5546875" bestFit="1" customWidth="1"/>
    <col min="14" max="14" width="33.21875" bestFit="1" customWidth="1"/>
  </cols>
  <sheetData>
    <row r="1" spans="1:14" x14ac:dyDescent="0.3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24</v>
      </c>
    </row>
    <row r="2" spans="1:14" x14ac:dyDescent="0.3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4" x14ac:dyDescent="0.3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4" x14ac:dyDescent="0.3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J4" s="73" t="s">
        <v>29</v>
      </c>
      <c r="K4" s="74"/>
    </row>
    <row r="5" spans="1:14" x14ac:dyDescent="0.3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J5" s="13" t="s">
        <v>19</v>
      </c>
      <c r="K5" s="14">
        <v>68</v>
      </c>
      <c r="L5" s="4" t="s">
        <v>34</v>
      </c>
      <c r="M5" s="54" t="s">
        <v>74</v>
      </c>
      <c r="N5" s="55" t="s">
        <v>93</v>
      </c>
    </row>
    <row r="6" spans="1:14" x14ac:dyDescent="0.3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J6" s="13" t="s">
        <v>20</v>
      </c>
      <c r="K6" s="15" t="str">
        <f>VLOOKUP(K5,xyz[],2,FALSE)</f>
        <v>Abhay</v>
      </c>
      <c r="L6">
        <f>MATCH(J6,xyz[#Headers],0)</f>
        <v>2</v>
      </c>
    </row>
    <row r="7" spans="1:14" x14ac:dyDescent="0.3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J7" s="13" t="s">
        <v>21</v>
      </c>
      <c r="K7" s="15" t="str">
        <f>VLOOKUP($K5,xyz[],3,FALSE)</f>
        <v>Corriveau</v>
      </c>
      <c r="L7">
        <f>MATCH(J7,xyz[#Headers],0)</f>
        <v>3</v>
      </c>
    </row>
    <row r="8" spans="1:14" x14ac:dyDescent="0.3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J8" s="13" t="s">
        <v>22</v>
      </c>
      <c r="K8" s="16">
        <f>VLOOKUP($K5,xyz[],4,FALSE)</f>
        <v>41893</v>
      </c>
      <c r="L8">
        <f>MATCH(J8,xyz[#Headers],0)</f>
        <v>4</v>
      </c>
    </row>
    <row r="9" spans="1:14" x14ac:dyDescent="0.3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J9" s="13" t="s">
        <v>23</v>
      </c>
      <c r="K9" s="15" t="str">
        <f>VLOOKUP($K5,xyz[],5,FALSE)</f>
        <v>Support</v>
      </c>
      <c r="L9">
        <f>MATCH(J9,xyz[#Headers],0)</f>
        <v>5</v>
      </c>
    </row>
    <row r="10" spans="1:14" x14ac:dyDescent="0.3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  <c r="J10" s="13" t="s">
        <v>24</v>
      </c>
      <c r="K10" s="15" t="str">
        <f>VLOOKUP($K5,xyz[],6,FALSE)</f>
        <v>B</v>
      </c>
      <c r="L10">
        <f>MATCH(J10,xyz[#Headers],0)</f>
        <v>6</v>
      </c>
    </row>
    <row r="11" spans="1:14" x14ac:dyDescent="0.3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</row>
    <row r="12" spans="1:14" x14ac:dyDescent="0.3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</row>
    <row r="13" spans="1:14" x14ac:dyDescent="0.3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  <c r="J13" s="13" t="s">
        <v>19</v>
      </c>
      <c r="K13" s="14">
        <v>610</v>
      </c>
    </row>
    <row r="14" spans="1:14" x14ac:dyDescent="0.3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  <c r="J14" s="13" t="s">
        <v>20</v>
      </c>
      <c r="K14" s="15" t="str">
        <f>VLOOKUP($K$13,xyz[],MATCH(J14,xyz[#Headers],0),FALSE)</f>
        <v>Janet</v>
      </c>
    </row>
    <row r="15" spans="1:14" x14ac:dyDescent="0.3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  <c r="J15" s="13" t="s">
        <v>21</v>
      </c>
      <c r="K15" s="15" t="str">
        <f>VLOOKUP($K$13,xyz[],MATCH(J15,xyz[#Headers],0),FALSE)</f>
        <v>McFadden</v>
      </c>
    </row>
    <row r="16" spans="1:14" x14ac:dyDescent="0.3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J16" s="13" t="s">
        <v>22</v>
      </c>
      <c r="K16" s="15">
        <f>VLOOKUP($K$13,xyz[],MATCH(J16,xyz[#Headers],0),FALSE)</f>
        <v>39367</v>
      </c>
    </row>
    <row r="17" spans="1:11" x14ac:dyDescent="0.3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J17" s="13" t="s">
        <v>23</v>
      </c>
      <c r="K17" s="15" t="str">
        <f>VLOOKUP($K$13,xyz[],MATCH(J17,xyz[#Headers],0),FALSE)</f>
        <v>Fulfilment</v>
      </c>
    </row>
    <row r="18" spans="1:11" x14ac:dyDescent="0.3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  <c r="J18" s="13" t="s">
        <v>24</v>
      </c>
      <c r="K18" s="15" t="str">
        <f>VLOOKUP($K$13,xyz[],MATCH(J18,xyz[#Headers],0),FALSE)</f>
        <v>B</v>
      </c>
    </row>
    <row r="19" spans="1:11" x14ac:dyDescent="0.3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</row>
    <row r="20" spans="1:11" x14ac:dyDescent="0.3">
      <c r="A20" s="18">
        <v>645</v>
      </c>
      <c r="B20" s="18" t="s">
        <v>45</v>
      </c>
      <c r="C20" s="18" t="s">
        <v>71</v>
      </c>
      <c r="D20" s="19">
        <v>39648</v>
      </c>
      <c r="E20" s="18" t="s">
        <v>27</v>
      </c>
      <c r="F20" s="18" t="s">
        <v>28</v>
      </c>
    </row>
    <row r="21" spans="1:11" x14ac:dyDescent="0.3">
      <c r="A21" s="49">
        <v>100</v>
      </c>
      <c r="B21" s="4" t="s">
        <v>72</v>
      </c>
      <c r="C21" s="4" t="s">
        <v>73</v>
      </c>
      <c r="D21" s="11">
        <v>39797</v>
      </c>
      <c r="E21" s="10" t="s">
        <v>32</v>
      </c>
      <c r="F21" s="10" t="s">
        <v>33</v>
      </c>
    </row>
    <row r="22" spans="1:11" x14ac:dyDescent="0.3">
      <c r="A22" s="51">
        <v>68</v>
      </c>
      <c r="B22" s="51" t="s">
        <v>92</v>
      </c>
      <c r="C22" s="51" t="s">
        <v>52</v>
      </c>
      <c r="D22" s="52">
        <v>41893</v>
      </c>
      <c r="E22" s="51" t="s">
        <v>53</v>
      </c>
      <c r="F22" s="51" t="s">
        <v>28</v>
      </c>
    </row>
  </sheetData>
  <mergeCells count="1">
    <mergeCell ref="J4:K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K11" sqref="K11"/>
    </sheetView>
  </sheetViews>
  <sheetFormatPr defaultColWidth="14.44140625" defaultRowHeight="15" customHeight="1" x14ac:dyDescent="0.3"/>
  <cols>
    <col min="1" max="2" width="8.77734375" customWidth="1"/>
    <col min="3" max="3" width="10.21875" customWidth="1"/>
    <col min="4" max="4" width="9.77734375" customWidth="1"/>
    <col min="5" max="5" width="12.77734375" customWidth="1"/>
    <col min="6" max="7" width="8.77734375" customWidth="1"/>
    <col min="8" max="9" width="11.77734375" customWidth="1"/>
    <col min="10" max="10" width="8.77734375" customWidth="1"/>
  </cols>
  <sheetData>
    <row r="1" spans="1:10" ht="15" customHeight="1" x14ac:dyDescent="0.3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24</v>
      </c>
    </row>
    <row r="2" spans="1:10" ht="15" customHeight="1" x14ac:dyDescent="0.3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0" ht="15" customHeight="1" x14ac:dyDescent="0.3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0" ht="15" customHeight="1" x14ac:dyDescent="0.3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H4" s="13" t="s">
        <v>19</v>
      </c>
      <c r="I4" s="14">
        <v>100</v>
      </c>
      <c r="J4" s="4" t="s">
        <v>74</v>
      </c>
    </row>
    <row r="5" spans="1:10" ht="15" customHeight="1" x14ac:dyDescent="0.3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H5" s="13" t="s">
        <v>20</v>
      </c>
      <c r="I5" s="15" t="e">
        <f>VLOOKUP($I$4,Table_1[#All],H5)</f>
        <v>#N/A</v>
      </c>
      <c r="J5" s="23"/>
    </row>
    <row r="6" spans="1:10" ht="15" customHeight="1" x14ac:dyDescent="0.3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H6" s="13" t="s">
        <v>21</v>
      </c>
      <c r="I6" s="15"/>
      <c r="J6" s="23"/>
    </row>
    <row r="7" spans="1:10" ht="15" customHeight="1" x14ac:dyDescent="0.3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H7" s="13" t="s">
        <v>22</v>
      </c>
      <c r="I7" s="24"/>
      <c r="J7" s="23"/>
    </row>
    <row r="8" spans="1:10" ht="15" customHeight="1" x14ac:dyDescent="0.3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H8" s="13" t="s">
        <v>23</v>
      </c>
      <c r="I8" s="15"/>
      <c r="J8" s="23"/>
    </row>
    <row r="9" spans="1:10" ht="15" customHeight="1" x14ac:dyDescent="0.3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H9" s="13" t="s">
        <v>24</v>
      </c>
      <c r="I9" s="15"/>
      <c r="J9" s="23"/>
    </row>
    <row r="10" spans="1:10" ht="15" customHeight="1" x14ac:dyDescent="0.3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</row>
    <row r="11" spans="1:10" ht="30.75" customHeight="1" x14ac:dyDescent="0.3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  <c r="H11" s="58" t="s">
        <v>75</v>
      </c>
      <c r="I11" s="59"/>
    </row>
    <row r="12" spans="1:10" ht="15" customHeight="1" x14ac:dyDescent="0.3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  <c r="H12" s="15" t="s">
        <v>19</v>
      </c>
      <c r="I12" s="14"/>
    </row>
    <row r="13" spans="1:10" ht="15" customHeight="1" x14ac:dyDescent="0.3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  <c r="H13" s="15" t="s">
        <v>20</v>
      </c>
      <c r="I13" s="15"/>
    </row>
    <row r="14" spans="1:10" ht="15" customHeight="1" x14ac:dyDescent="0.3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  <c r="H14" s="15" t="s">
        <v>21</v>
      </c>
      <c r="I14" s="15"/>
    </row>
    <row r="15" spans="1:10" ht="15" customHeight="1" x14ac:dyDescent="0.3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  <c r="H15" s="15" t="s">
        <v>22</v>
      </c>
      <c r="I15" s="24"/>
    </row>
    <row r="16" spans="1:10" ht="15" customHeight="1" x14ac:dyDescent="0.3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H16" s="15" t="s">
        <v>23</v>
      </c>
      <c r="I16" s="15"/>
    </row>
    <row r="17" spans="1:9" ht="15" customHeight="1" x14ac:dyDescent="0.3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H17" s="15" t="s">
        <v>24</v>
      </c>
      <c r="I17" s="15"/>
    </row>
    <row r="18" spans="1:9" ht="15" customHeight="1" x14ac:dyDescent="0.3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</row>
    <row r="19" spans="1:9" ht="15" customHeight="1" x14ac:dyDescent="0.3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</row>
    <row r="20" spans="1:9" ht="15" customHeight="1" x14ac:dyDescent="0.3">
      <c r="A20" s="10">
        <v>645</v>
      </c>
      <c r="B20" s="10" t="s">
        <v>45</v>
      </c>
      <c r="C20" s="10" t="s">
        <v>71</v>
      </c>
      <c r="D20" s="11">
        <v>39648</v>
      </c>
      <c r="E20" s="10" t="s">
        <v>27</v>
      </c>
      <c r="F20" s="10" t="s">
        <v>28</v>
      </c>
    </row>
    <row r="21" spans="1:9" ht="15.75" customHeight="1" x14ac:dyDescent="0.3">
      <c r="A21" s="10">
        <v>100</v>
      </c>
      <c r="B21" s="10" t="s">
        <v>72</v>
      </c>
      <c r="C21" s="10" t="s">
        <v>73</v>
      </c>
      <c r="D21" s="11">
        <v>39797</v>
      </c>
      <c r="E21" s="10" t="s">
        <v>32</v>
      </c>
      <c r="F21" s="10" t="s">
        <v>33</v>
      </c>
    </row>
    <row r="22" spans="1:9" ht="15.75" customHeight="1" x14ac:dyDescent="0.3"/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H11:I11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1000"/>
  <sheetViews>
    <sheetView workbookViewId="0">
      <selection activeCell="D10" sqref="D10"/>
    </sheetView>
  </sheetViews>
  <sheetFormatPr defaultColWidth="14.44140625" defaultRowHeight="15" customHeight="1" x14ac:dyDescent="0.3"/>
  <cols>
    <col min="1" max="1" width="8.77734375" customWidth="1"/>
    <col min="2" max="2" width="12.5546875" customWidth="1"/>
    <col min="3" max="3" width="11.5546875" customWidth="1"/>
    <col min="4" max="4" width="12.5546875" customWidth="1"/>
    <col min="5" max="5" width="11.5546875" customWidth="1"/>
    <col min="6" max="7" width="12.5546875" customWidth="1"/>
    <col min="8" max="8" width="12.109375" customWidth="1"/>
    <col min="9" max="9" width="13.21875" customWidth="1"/>
    <col min="10" max="10" width="12.5546875" customWidth="1"/>
    <col min="11" max="11" width="11.5546875" customWidth="1"/>
    <col min="12" max="12" width="12.77734375" customWidth="1"/>
  </cols>
  <sheetData>
    <row r="3" spans="1:9" ht="15" customHeight="1" x14ac:dyDescent="0.3">
      <c r="C3" s="2" t="s">
        <v>4</v>
      </c>
      <c r="D3" s="4" t="s">
        <v>7</v>
      </c>
      <c r="E3" s="4" t="s">
        <v>9</v>
      </c>
      <c r="F3" s="4" t="s">
        <v>11</v>
      </c>
      <c r="G3" s="4" t="s">
        <v>13</v>
      </c>
    </row>
    <row r="4" spans="1:9" ht="15" customHeight="1" x14ac:dyDescent="0.3">
      <c r="C4" s="2" t="s">
        <v>5</v>
      </c>
      <c r="D4" s="4" t="s">
        <v>8</v>
      </c>
      <c r="E4" s="4" t="s">
        <v>10</v>
      </c>
      <c r="F4" s="4" t="s">
        <v>12</v>
      </c>
      <c r="G4" s="4" t="s">
        <v>14</v>
      </c>
    </row>
    <row r="7" spans="1:9" ht="15" customHeight="1" x14ac:dyDescent="0.3">
      <c r="H7" s="57" t="s">
        <v>94</v>
      </c>
      <c r="I7" s="56" t="s">
        <v>9</v>
      </c>
    </row>
    <row r="8" spans="1:9" ht="15" customHeight="1" x14ac:dyDescent="0.3">
      <c r="H8" s="57" t="s">
        <v>95</v>
      </c>
      <c r="I8" s="23" t="str">
        <f>HLOOKUP(I7,C3:G4,2,FALSE)</f>
        <v>Apple</v>
      </c>
    </row>
    <row r="9" spans="1:9" ht="15" customHeight="1" x14ac:dyDescent="0.3">
      <c r="A9" s="23" t="s">
        <v>76</v>
      </c>
      <c r="B9" s="23" t="s">
        <v>32</v>
      </c>
      <c r="C9" s="23" t="s">
        <v>18</v>
      </c>
      <c r="D9" s="4" t="s">
        <v>77</v>
      </c>
      <c r="F9" s="23" t="s">
        <v>32</v>
      </c>
      <c r="G9" s="23" t="s">
        <v>81</v>
      </c>
    </row>
    <row r="10" spans="1:9" ht="15" customHeight="1" x14ac:dyDescent="0.3">
      <c r="A10" s="23" t="s">
        <v>78</v>
      </c>
      <c r="B10" s="25">
        <v>171900</v>
      </c>
      <c r="C10" s="26">
        <f>VLOOKUP($B10,HLOOKUP!$F$10:$G$17,2,TRUE)</f>
        <v>7.0000000000000007E-2</v>
      </c>
      <c r="F10" s="28">
        <v>50000</v>
      </c>
      <c r="G10" s="27">
        <v>0.03</v>
      </c>
    </row>
    <row r="11" spans="1:9" ht="15" customHeight="1" x14ac:dyDescent="0.3">
      <c r="A11" s="23" t="s">
        <v>79</v>
      </c>
      <c r="B11" s="25">
        <v>93500</v>
      </c>
      <c r="C11" s="26">
        <f>VLOOKUP($B11,HLOOKUP!$F$10:$G$17,2,TRUE)</f>
        <v>0.04</v>
      </c>
      <c r="F11" s="28">
        <v>75000</v>
      </c>
      <c r="G11" s="27">
        <v>0.04</v>
      </c>
    </row>
    <row r="12" spans="1:9" ht="15" customHeight="1" x14ac:dyDescent="0.3">
      <c r="A12" s="23" t="s">
        <v>80</v>
      </c>
      <c r="B12" s="25">
        <v>151200</v>
      </c>
      <c r="C12" s="26">
        <f>VLOOKUP($B12,HLOOKUP!$F$10:$G$17,2,TRUE)</f>
        <v>7.0000000000000007E-2</v>
      </c>
      <c r="D12" s="26">
        <f>HLOOKUP(B12,HLOOKUP!$F$10:$G$17,2,TRUE)</f>
        <v>0.04</v>
      </c>
      <c r="F12" s="28">
        <v>100000</v>
      </c>
      <c r="G12" s="27">
        <v>0.05</v>
      </c>
    </row>
    <row r="13" spans="1:9" ht="15" customHeight="1" x14ac:dyDescent="0.3">
      <c r="A13" s="23" t="s">
        <v>82</v>
      </c>
      <c r="B13" s="25">
        <v>119850</v>
      </c>
      <c r="C13" s="26">
        <f>VLOOKUP($B13,HLOOKUP!$F$10:$G$17,2,TRUE)</f>
        <v>0.05</v>
      </c>
      <c r="D13" s="26">
        <f>HLOOKUP(B13,HLOOKUP!$F$10:$G$17,2,TRUE)</f>
        <v>0.04</v>
      </c>
      <c r="F13" s="28">
        <v>125000</v>
      </c>
      <c r="G13" s="27">
        <v>0.06</v>
      </c>
    </row>
    <row r="14" spans="1:9" ht="15" customHeight="1" x14ac:dyDescent="0.3">
      <c r="A14" s="23" t="s">
        <v>83</v>
      </c>
      <c r="B14" s="25">
        <v>89450</v>
      </c>
      <c r="C14" s="26">
        <f>VLOOKUP($B14,HLOOKUP!$F$10:$G$17,2,TRUE)</f>
        <v>0.04</v>
      </c>
      <c r="D14" s="26">
        <f>HLOOKUP(B14,HLOOKUP!$F$10:$G$17,2,TRUE)</f>
        <v>0.04</v>
      </c>
      <c r="F14" s="28">
        <v>150000</v>
      </c>
      <c r="G14" s="27">
        <v>7.0000000000000007E-2</v>
      </c>
    </row>
    <row r="15" spans="1:9" ht="15" customHeight="1" x14ac:dyDescent="0.3">
      <c r="A15" s="23" t="s">
        <v>84</v>
      </c>
      <c r="B15" s="25">
        <v>124500</v>
      </c>
      <c r="C15" s="26">
        <f>VLOOKUP($B15,HLOOKUP!$F$10:$G$17,2,TRUE)</f>
        <v>0.05</v>
      </c>
      <c r="D15" s="26">
        <f>HLOOKUP(B15,HLOOKUP!$F$10:$G$17,2,TRUE)</f>
        <v>0.04</v>
      </c>
      <c r="F15" s="28">
        <v>175000</v>
      </c>
      <c r="G15" s="27">
        <v>0.08</v>
      </c>
    </row>
    <row r="16" spans="1:9" ht="15" customHeight="1" x14ac:dyDescent="0.3">
      <c r="A16" s="23" t="s">
        <v>85</v>
      </c>
      <c r="B16" s="25">
        <v>131100</v>
      </c>
      <c r="C16" s="26">
        <f>VLOOKUP($B16,HLOOKUP!$F$10:$G$17,2,TRUE)</f>
        <v>0.06</v>
      </c>
      <c r="D16" s="26">
        <f>HLOOKUP(B16,HLOOKUP!$F$10:$G$17,2,TRUE)</f>
        <v>0.04</v>
      </c>
      <c r="F16" s="28">
        <v>200000</v>
      </c>
      <c r="G16" s="27">
        <v>0.09</v>
      </c>
    </row>
    <row r="17" spans="1:26" ht="15" customHeight="1" x14ac:dyDescent="0.3">
      <c r="A17" s="23" t="s">
        <v>86</v>
      </c>
      <c r="B17" s="25">
        <v>55300</v>
      </c>
      <c r="C17" s="26">
        <f>VLOOKUP($B17,HLOOKUP!$F$10:$G$17,2,TRUE)</f>
        <v>0.03</v>
      </c>
      <c r="D17" s="26">
        <f>HLOOKUP(B17,HLOOKUP!$F$10:$G$17,2,TRUE)</f>
        <v>0.04</v>
      </c>
      <c r="F17" s="28">
        <v>220000</v>
      </c>
      <c r="G17" s="27">
        <v>0.1</v>
      </c>
    </row>
    <row r="18" spans="1:26" ht="15" customHeight="1" x14ac:dyDescent="0.3">
      <c r="A18" s="23" t="s">
        <v>87</v>
      </c>
      <c r="B18" s="25">
        <v>220000</v>
      </c>
      <c r="C18" s="26">
        <f>VLOOKUP($B18,HLOOKUP!$F$10:$G$17,2,TRUE)</f>
        <v>0.1</v>
      </c>
      <c r="D18" s="26">
        <f>HLOOKUP(B18,HLOOKUP!$F$10:$G$17,2,TRUE)</f>
        <v>0.04</v>
      </c>
    </row>
    <row r="21" spans="1:26" ht="15.75" customHeight="1" x14ac:dyDescent="0.3"/>
    <row r="22" spans="1:26" ht="15.75" customHeight="1" x14ac:dyDescent="0.3">
      <c r="C22" s="29" t="s">
        <v>32</v>
      </c>
      <c r="D22" s="30">
        <v>50000</v>
      </c>
      <c r="E22" s="30">
        <v>75000</v>
      </c>
      <c r="F22" s="31">
        <v>100000</v>
      </c>
      <c r="G22" s="31">
        <v>125000</v>
      </c>
      <c r="H22" s="31" t="s">
        <v>88</v>
      </c>
      <c r="I22" s="31">
        <v>175000</v>
      </c>
      <c r="J22" s="32">
        <v>200000</v>
      </c>
    </row>
    <row r="23" spans="1:26" ht="15.75" customHeight="1" x14ac:dyDescent="0.3">
      <c r="C23" s="33" t="s">
        <v>81</v>
      </c>
      <c r="D23" s="34">
        <v>0.03</v>
      </c>
      <c r="E23" s="34">
        <v>0.04</v>
      </c>
      <c r="F23" s="34">
        <v>0.05</v>
      </c>
      <c r="G23" s="34">
        <v>0.06</v>
      </c>
      <c r="H23" s="34">
        <v>7.0000000000000007E-2</v>
      </c>
      <c r="I23" s="34">
        <v>0.08</v>
      </c>
      <c r="J23" s="35">
        <v>0.09</v>
      </c>
    </row>
    <row r="24" spans="1:26" ht="29.25" customHeight="1" x14ac:dyDescent="0.3">
      <c r="C24" s="36" t="s">
        <v>89</v>
      </c>
      <c r="D24" s="37">
        <f t="shared" ref="D24:J24" si="0">HLOOKUP(D22,C22:J23,2,TRUE)</f>
        <v>0.03</v>
      </c>
      <c r="E24" s="37">
        <f t="shared" si="0"/>
        <v>0.04</v>
      </c>
      <c r="F24" s="37">
        <f t="shared" si="0"/>
        <v>0.05</v>
      </c>
      <c r="G24" s="37">
        <f t="shared" si="0"/>
        <v>0.06</v>
      </c>
      <c r="H24" s="37">
        <f t="shared" si="0"/>
        <v>7.0000000000000007E-2</v>
      </c>
      <c r="I24" s="37">
        <f t="shared" si="0"/>
        <v>0.08</v>
      </c>
      <c r="J24" s="38">
        <f t="shared" si="0"/>
        <v>0.09</v>
      </c>
    </row>
    <row r="25" spans="1:26" ht="29.25" customHeight="1" x14ac:dyDescent="0.3">
      <c r="A25" s="4"/>
      <c r="B25" s="4"/>
      <c r="C25" s="3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C26" s="4"/>
      <c r="D26" s="40"/>
    </row>
    <row r="27" spans="1:26" ht="15.75" customHeight="1" x14ac:dyDescent="0.3">
      <c r="C27" s="4"/>
      <c r="D27" s="27"/>
    </row>
    <row r="28" spans="1:26" ht="15.75" customHeight="1" x14ac:dyDescent="0.3"/>
    <row r="29" spans="1:26" ht="15.75" customHeight="1" x14ac:dyDescent="0.3">
      <c r="C29" s="41" t="s">
        <v>32</v>
      </c>
      <c r="D29" s="42">
        <v>171900</v>
      </c>
      <c r="E29" s="42">
        <v>93500</v>
      </c>
      <c r="F29" s="42">
        <v>151200</v>
      </c>
      <c r="G29" s="42">
        <v>119850</v>
      </c>
      <c r="H29" s="42">
        <v>89450</v>
      </c>
      <c r="I29" s="42">
        <v>124500</v>
      </c>
      <c r="J29" s="42">
        <v>131100</v>
      </c>
      <c r="K29" s="42">
        <v>55300</v>
      </c>
      <c r="L29" s="43">
        <v>220000</v>
      </c>
    </row>
    <row r="30" spans="1:26" ht="15.75" customHeight="1" x14ac:dyDescent="0.3">
      <c r="C30" s="44" t="s">
        <v>90</v>
      </c>
      <c r="D30" s="45"/>
      <c r="E30" s="45"/>
      <c r="F30" s="45"/>
      <c r="G30" s="45"/>
      <c r="H30" s="45"/>
      <c r="I30" s="45"/>
      <c r="J30" s="45"/>
      <c r="K30" s="45"/>
      <c r="L30" s="45"/>
    </row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K34"/>
  <sheetViews>
    <sheetView tabSelected="1" zoomScale="110" zoomScaleNormal="110" workbookViewId="0">
      <selection activeCell="L9" sqref="L9"/>
    </sheetView>
  </sheetViews>
  <sheetFormatPr defaultColWidth="14.44140625" defaultRowHeight="15" customHeight="1" x14ac:dyDescent="0.3"/>
  <cols>
    <col min="10" max="10" width="16.77734375" customWidth="1"/>
  </cols>
  <sheetData>
    <row r="3" spans="1:11" ht="14.4" x14ac:dyDescent="0.3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8" t="s">
        <v>24</v>
      </c>
    </row>
    <row r="4" spans="1:11" ht="14.4" x14ac:dyDescent="0.3">
      <c r="A4" s="9">
        <v>610</v>
      </c>
      <c r="B4" s="10" t="s">
        <v>25</v>
      </c>
      <c r="C4" s="10" t="s">
        <v>26</v>
      </c>
      <c r="D4" s="11">
        <v>39367</v>
      </c>
      <c r="E4" s="10" t="s">
        <v>27</v>
      </c>
      <c r="F4" s="12" t="s">
        <v>28</v>
      </c>
      <c r="H4" s="58" t="s">
        <v>75</v>
      </c>
      <c r="I4" s="59"/>
      <c r="J4" s="46"/>
    </row>
    <row r="5" spans="1:11" ht="14.4" x14ac:dyDescent="0.3">
      <c r="A5" s="9">
        <v>798</v>
      </c>
      <c r="B5" s="10" t="s">
        <v>30</v>
      </c>
      <c r="C5" s="10" t="s">
        <v>31</v>
      </c>
      <c r="D5" s="11">
        <v>43077</v>
      </c>
      <c r="E5" s="10" t="s">
        <v>32</v>
      </c>
      <c r="F5" s="12" t="s">
        <v>33</v>
      </c>
      <c r="H5" s="15" t="s">
        <v>19</v>
      </c>
      <c r="I5" s="14">
        <v>785</v>
      </c>
    </row>
    <row r="6" spans="1:11" ht="14.4" x14ac:dyDescent="0.3">
      <c r="A6" s="9">
        <v>841</v>
      </c>
      <c r="B6" s="10" t="s">
        <v>35</v>
      </c>
      <c r="C6" s="10" t="s">
        <v>36</v>
      </c>
      <c r="D6" s="11">
        <v>38007</v>
      </c>
      <c r="E6" s="10" t="s">
        <v>27</v>
      </c>
      <c r="F6" s="12" t="s">
        <v>28</v>
      </c>
      <c r="H6" s="15" t="s">
        <v>20</v>
      </c>
      <c r="I6" s="15" t="str">
        <f>VLOOKUP($I$5,$A$3:$F$23,MATCH(H6,$A$3:$F$3,0),FALSE)</f>
        <v>Harold</v>
      </c>
    </row>
    <row r="7" spans="1:11" ht="14.4" x14ac:dyDescent="0.3">
      <c r="A7" s="9">
        <v>886</v>
      </c>
      <c r="B7" s="10" t="s">
        <v>37</v>
      </c>
      <c r="C7" s="10" t="s">
        <v>38</v>
      </c>
      <c r="D7" s="11">
        <v>41447</v>
      </c>
      <c r="E7" s="10" t="s">
        <v>27</v>
      </c>
      <c r="F7" s="12" t="s">
        <v>39</v>
      </c>
      <c r="H7" s="15" t="s">
        <v>21</v>
      </c>
      <c r="I7" s="15" t="str">
        <f t="shared" ref="I7:I10" si="0">VLOOKUP($I$5,$A$3:$F$23,MATCH(H7,$A$3:$F$3,0),FALSE)</f>
        <v>Calyon</v>
      </c>
    </row>
    <row r="8" spans="1:11" ht="14.4" x14ac:dyDescent="0.3">
      <c r="A8" s="9">
        <v>622</v>
      </c>
      <c r="B8" s="10" t="s">
        <v>40</v>
      </c>
      <c r="C8" s="10" t="s">
        <v>41</v>
      </c>
      <c r="D8" s="11">
        <v>42977</v>
      </c>
      <c r="E8" s="10" t="s">
        <v>42</v>
      </c>
      <c r="F8" s="12" t="s">
        <v>33</v>
      </c>
      <c r="H8" s="15" t="s">
        <v>22</v>
      </c>
      <c r="I8" s="16">
        <f t="shared" si="0"/>
        <v>40640</v>
      </c>
    </row>
    <row r="9" spans="1:11" ht="14.4" x14ac:dyDescent="0.3">
      <c r="A9" s="9">
        <v>601</v>
      </c>
      <c r="B9" s="10" t="s">
        <v>43</v>
      </c>
      <c r="C9" s="10" t="s">
        <v>44</v>
      </c>
      <c r="D9" s="11">
        <v>40340</v>
      </c>
      <c r="E9" s="10"/>
      <c r="F9" s="12" t="s">
        <v>39</v>
      </c>
      <c r="H9" s="15" t="s">
        <v>23</v>
      </c>
      <c r="I9" s="15" t="str">
        <f t="shared" si="0"/>
        <v>Fulfilment</v>
      </c>
    </row>
    <row r="10" spans="1:11" ht="14.4" x14ac:dyDescent="0.3">
      <c r="A10" s="9">
        <v>869</v>
      </c>
      <c r="B10" s="10" t="s">
        <v>45</v>
      </c>
      <c r="C10" s="10" t="s">
        <v>46</v>
      </c>
      <c r="D10" s="11">
        <v>41491</v>
      </c>
      <c r="E10" s="10" t="s">
        <v>42</v>
      </c>
      <c r="F10" s="12" t="s">
        <v>33</v>
      </c>
      <c r="H10" s="15" t="s">
        <v>24</v>
      </c>
      <c r="I10" s="15" t="str">
        <f t="shared" si="0"/>
        <v>B</v>
      </c>
    </row>
    <row r="11" spans="1:11" ht="14.4" x14ac:dyDescent="0.3">
      <c r="A11" s="9">
        <v>867</v>
      </c>
      <c r="B11" s="10" t="s">
        <v>47</v>
      </c>
      <c r="C11" s="10" t="s">
        <v>48</v>
      </c>
      <c r="D11" s="11">
        <v>39646</v>
      </c>
      <c r="E11" s="10" t="s">
        <v>27</v>
      </c>
      <c r="F11" s="12" t="s">
        <v>28</v>
      </c>
    </row>
    <row r="12" spans="1:11" ht="14.4" x14ac:dyDescent="0.3">
      <c r="A12" s="9">
        <v>785</v>
      </c>
      <c r="B12" s="10" t="s">
        <v>49</v>
      </c>
      <c r="C12" s="10" t="s">
        <v>50</v>
      </c>
      <c r="D12" s="11">
        <v>40640</v>
      </c>
      <c r="E12" s="10" t="s">
        <v>27</v>
      </c>
      <c r="F12" s="12" t="s">
        <v>28</v>
      </c>
    </row>
    <row r="13" spans="1:11" ht="14.4" x14ac:dyDescent="0.3">
      <c r="A13" s="9">
        <v>648</v>
      </c>
      <c r="B13" s="10" t="s">
        <v>51</v>
      </c>
      <c r="C13" s="10" t="s">
        <v>52</v>
      </c>
      <c r="D13" s="11">
        <v>41893</v>
      </c>
      <c r="E13" s="10" t="s">
        <v>53</v>
      </c>
      <c r="F13" s="12" t="s">
        <v>28</v>
      </c>
      <c r="H13" s="60" t="s">
        <v>91</v>
      </c>
      <c r="I13" s="61"/>
      <c r="J13" s="53" t="s">
        <v>97</v>
      </c>
      <c r="K13" s="53" t="s">
        <v>96</v>
      </c>
    </row>
    <row r="14" spans="1:11" ht="14.4" x14ac:dyDescent="0.3">
      <c r="A14" s="9">
        <v>604</v>
      </c>
      <c r="B14" s="10" t="s">
        <v>54</v>
      </c>
      <c r="C14" s="10" t="s">
        <v>55</v>
      </c>
      <c r="D14" s="11">
        <v>42564</v>
      </c>
      <c r="E14" s="10" t="s">
        <v>32</v>
      </c>
      <c r="F14" s="12" t="s">
        <v>39</v>
      </c>
      <c r="H14" s="47" t="s">
        <v>19</v>
      </c>
      <c r="I14" s="48">
        <v>648</v>
      </c>
      <c r="J14">
        <f>MATCH(C4,$C$4:$C$23,0)</f>
        <v>1</v>
      </c>
      <c r="K14">
        <f>MATCH(H14,$A$3:$F$3,0)</f>
        <v>1</v>
      </c>
    </row>
    <row r="15" spans="1:11" ht="14.4" x14ac:dyDescent="0.3">
      <c r="A15" s="9">
        <v>352</v>
      </c>
      <c r="B15" s="10" t="s">
        <v>56</v>
      </c>
      <c r="C15" s="10" t="s">
        <v>57</v>
      </c>
      <c r="D15" s="11">
        <v>40537</v>
      </c>
      <c r="E15" s="10" t="s">
        <v>58</v>
      </c>
      <c r="F15" s="12" t="s">
        <v>39</v>
      </c>
      <c r="H15" s="47" t="s">
        <v>20</v>
      </c>
      <c r="I15" s="75" t="str">
        <f>INDEX($A$4:$F$23,MATCH($I$14,$A$4:$A$23,0),MATCH(H15,$A$3:$F$3,0))</f>
        <v>Sharyn</v>
      </c>
      <c r="J15">
        <f t="shared" ref="J15:J34" si="1">MATCH(C5,$C$4:$C$23,0)</f>
        <v>2</v>
      </c>
      <c r="K15">
        <f t="shared" ref="K15:K19" si="2">MATCH(H15,$A$3:$F$3,0)</f>
        <v>2</v>
      </c>
    </row>
    <row r="16" spans="1:11" ht="14.4" x14ac:dyDescent="0.3">
      <c r="A16" s="9">
        <v>623</v>
      </c>
      <c r="B16" s="10" t="s">
        <v>59</v>
      </c>
      <c r="C16" s="10" t="s">
        <v>60</v>
      </c>
      <c r="D16" s="11">
        <v>39942</v>
      </c>
      <c r="E16" s="10" t="s">
        <v>32</v>
      </c>
      <c r="F16" s="12" t="s">
        <v>33</v>
      </c>
      <c r="H16" s="47" t="s">
        <v>21</v>
      </c>
      <c r="I16" s="75" t="str">
        <f t="shared" ref="I16:I19" si="3">INDEX($A$4:$F$23,MATCH($I$14,$A$4:$A$23,0),MATCH(H16,$A$3:$F$3,0))</f>
        <v>Corriveau</v>
      </c>
      <c r="J16">
        <f t="shared" si="1"/>
        <v>3</v>
      </c>
      <c r="K16">
        <f t="shared" si="2"/>
        <v>3</v>
      </c>
    </row>
    <row r="17" spans="1:11" ht="14.4" x14ac:dyDescent="0.3">
      <c r="A17" s="9">
        <v>428</v>
      </c>
      <c r="B17" s="10" t="s">
        <v>61</v>
      </c>
      <c r="C17" s="10" t="s">
        <v>62</v>
      </c>
      <c r="D17" s="11">
        <v>38296</v>
      </c>
      <c r="E17" s="10" t="s">
        <v>42</v>
      </c>
      <c r="F17" s="12" t="s">
        <v>33</v>
      </c>
      <c r="H17" s="47" t="s">
        <v>22</v>
      </c>
      <c r="I17" s="75">
        <f t="shared" si="3"/>
        <v>41893</v>
      </c>
      <c r="J17">
        <f t="shared" si="1"/>
        <v>4</v>
      </c>
      <c r="K17">
        <f t="shared" si="2"/>
        <v>4</v>
      </c>
    </row>
    <row r="18" spans="1:11" ht="14.4" x14ac:dyDescent="0.3">
      <c r="A18" s="9">
        <v>491</v>
      </c>
      <c r="B18" s="10" t="s">
        <v>63</v>
      </c>
      <c r="C18" s="10" t="s">
        <v>64</v>
      </c>
      <c r="D18" s="11">
        <v>42307</v>
      </c>
      <c r="E18" s="10" t="s">
        <v>32</v>
      </c>
      <c r="F18" s="12" t="s">
        <v>33</v>
      </c>
      <c r="H18" s="47" t="s">
        <v>23</v>
      </c>
      <c r="I18" s="75" t="str">
        <f t="shared" si="3"/>
        <v>Support</v>
      </c>
      <c r="J18">
        <f t="shared" si="1"/>
        <v>5</v>
      </c>
      <c r="K18">
        <f t="shared" si="2"/>
        <v>5</v>
      </c>
    </row>
    <row r="19" spans="1:11" ht="14.4" x14ac:dyDescent="0.3">
      <c r="A19" s="9">
        <v>625</v>
      </c>
      <c r="B19" s="10" t="s">
        <v>65</v>
      </c>
      <c r="C19" s="10" t="s">
        <v>66</v>
      </c>
      <c r="D19" s="11">
        <v>40950</v>
      </c>
      <c r="E19" s="10" t="s">
        <v>27</v>
      </c>
      <c r="F19" s="12" t="s">
        <v>28</v>
      </c>
      <c r="H19" s="47" t="s">
        <v>24</v>
      </c>
      <c r="I19" s="75" t="str">
        <f t="shared" si="3"/>
        <v>B</v>
      </c>
      <c r="J19">
        <f t="shared" si="1"/>
        <v>6</v>
      </c>
      <c r="K19">
        <f t="shared" si="2"/>
        <v>6</v>
      </c>
    </row>
    <row r="20" spans="1:11" ht="14.4" x14ac:dyDescent="0.3">
      <c r="A20" s="9">
        <v>184</v>
      </c>
      <c r="B20" s="10" t="s">
        <v>67</v>
      </c>
      <c r="C20" s="10" t="s">
        <v>68</v>
      </c>
      <c r="D20" s="11">
        <v>37733</v>
      </c>
      <c r="E20" s="10" t="s">
        <v>32</v>
      </c>
      <c r="F20" s="12" t="s">
        <v>33</v>
      </c>
      <c r="J20">
        <f t="shared" si="1"/>
        <v>7</v>
      </c>
    </row>
    <row r="21" spans="1:11" ht="14.4" x14ac:dyDescent="0.3">
      <c r="A21" s="9">
        <v>893</v>
      </c>
      <c r="B21" s="10" t="s">
        <v>69</v>
      </c>
      <c r="C21" s="10" t="s">
        <v>70</v>
      </c>
      <c r="D21" s="11">
        <v>39797</v>
      </c>
      <c r="E21" s="10" t="s">
        <v>32</v>
      </c>
      <c r="F21" s="12" t="s">
        <v>33</v>
      </c>
      <c r="J21">
        <f t="shared" si="1"/>
        <v>8</v>
      </c>
    </row>
    <row r="22" spans="1:11" ht="14.4" x14ac:dyDescent="0.3">
      <c r="A22" s="17">
        <v>645</v>
      </c>
      <c r="B22" s="18" t="s">
        <v>45</v>
      </c>
      <c r="C22" s="18" t="s">
        <v>71</v>
      </c>
      <c r="D22" s="19">
        <v>39648</v>
      </c>
      <c r="E22" s="18" t="s">
        <v>27</v>
      </c>
      <c r="F22" s="20" t="s">
        <v>28</v>
      </c>
      <c r="J22">
        <f t="shared" si="1"/>
        <v>9</v>
      </c>
    </row>
    <row r="23" spans="1:11" ht="14.4" x14ac:dyDescent="0.3">
      <c r="A23" s="21">
        <v>100</v>
      </c>
      <c r="B23" s="4" t="s">
        <v>72</v>
      </c>
      <c r="C23" s="4" t="s">
        <v>73</v>
      </c>
      <c r="D23" s="11">
        <v>39797</v>
      </c>
      <c r="E23" s="10" t="s">
        <v>32</v>
      </c>
      <c r="F23" s="12" t="s">
        <v>33</v>
      </c>
      <c r="J23">
        <f t="shared" si="1"/>
        <v>10</v>
      </c>
    </row>
    <row r="24" spans="1:11" ht="15" customHeight="1" x14ac:dyDescent="0.3">
      <c r="J24">
        <f t="shared" si="1"/>
        <v>11</v>
      </c>
    </row>
    <row r="25" spans="1:11" ht="15" customHeight="1" x14ac:dyDescent="0.3">
      <c r="J25">
        <f t="shared" si="1"/>
        <v>12</v>
      </c>
    </row>
    <row r="26" spans="1:11" ht="15" customHeight="1" x14ac:dyDescent="0.3">
      <c r="J26">
        <f t="shared" si="1"/>
        <v>13</v>
      </c>
    </row>
    <row r="27" spans="1:11" ht="15" customHeight="1" x14ac:dyDescent="0.3">
      <c r="J27">
        <f t="shared" si="1"/>
        <v>14</v>
      </c>
    </row>
    <row r="28" spans="1:11" ht="15" customHeight="1" x14ac:dyDescent="0.3">
      <c r="J28">
        <f t="shared" si="1"/>
        <v>15</v>
      </c>
    </row>
    <row r="29" spans="1:11" ht="15" customHeight="1" x14ac:dyDescent="0.3">
      <c r="J29">
        <f t="shared" si="1"/>
        <v>16</v>
      </c>
    </row>
    <row r="30" spans="1:11" ht="15" customHeight="1" x14ac:dyDescent="0.3">
      <c r="J30">
        <f t="shared" si="1"/>
        <v>17</v>
      </c>
    </row>
    <row r="31" spans="1:11" ht="15" customHeight="1" x14ac:dyDescent="0.3">
      <c r="J31">
        <f t="shared" si="1"/>
        <v>18</v>
      </c>
    </row>
    <row r="32" spans="1:11" ht="15" customHeight="1" x14ac:dyDescent="0.3">
      <c r="J32">
        <f t="shared" si="1"/>
        <v>19</v>
      </c>
    </row>
    <row r="33" spans="10:10" ht="15" customHeight="1" x14ac:dyDescent="0.3">
      <c r="J33">
        <f t="shared" si="1"/>
        <v>20</v>
      </c>
    </row>
    <row r="34" spans="10:10" ht="15" customHeight="1" x14ac:dyDescent="0.3">
      <c r="J34" t="e">
        <f t="shared" si="1"/>
        <v>#N/A</v>
      </c>
    </row>
  </sheetData>
  <mergeCells count="2">
    <mergeCell ref="H4:I4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lookup </vt:lpstr>
      <vt:lpstr>Vlookup</vt:lpstr>
      <vt:lpstr>Sheet1</vt:lpstr>
      <vt:lpstr>DYNAMIC Vlookup</vt:lpstr>
      <vt:lpstr>HLOOKUP</vt:lpstr>
      <vt:lpstr>INDEX AND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Abhay Dhamal</cp:lastModifiedBy>
  <dcterms:created xsi:type="dcterms:W3CDTF">2024-07-15T05:08:55Z</dcterms:created>
  <dcterms:modified xsi:type="dcterms:W3CDTF">2026-09-09T12:18:33Z</dcterms:modified>
</cp:coreProperties>
</file>