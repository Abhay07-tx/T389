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D0FC8C23-F274-440B-8AA9-A466896F1DC8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Basic formula" sheetId="4" r:id="rId1"/>
    <sheet name="Value-if-false" sheetId="14" r:id="rId2"/>
    <sheet name="If negative number" sheetId="24" r:id="rId3"/>
    <sheet name="IF with text" sheetId="13" r:id="rId4"/>
    <sheet name="IF case-sensitive" sheetId="16" r:id="rId5"/>
    <sheet name="IF partial text" sheetId="15" r:id="rId6"/>
    <sheet name="IF with dates" sheetId="17" r:id="rId7"/>
    <sheet name="IF blank" sheetId="18" r:id="rId8"/>
    <sheet name="If two cells match" sheetId="23" r:id="rId9"/>
    <sheet name="Math operation" sheetId="19" r:id="rId10"/>
    <sheet name="Nested IFs " sheetId="20" r:id="rId11"/>
    <sheet name="Multiple conditions" sheetId="21" r:id="rId12"/>
    <sheet name="If erro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5" l="1"/>
  <c r="E3" i="21"/>
  <c r="E4" i="21"/>
  <c r="E5" i="21"/>
  <c r="E6" i="21"/>
  <c r="E7" i="21"/>
  <c r="E2" i="21"/>
  <c r="D3" i="21"/>
  <c r="D4" i="21"/>
  <c r="D5" i="21"/>
  <c r="D6" i="21"/>
  <c r="D7" i="21"/>
  <c r="D2" i="21"/>
  <c r="P5" i="21"/>
  <c r="P6" i="21"/>
  <c r="P7" i="21"/>
  <c r="P4" i="21"/>
  <c r="L5" i="21"/>
  <c r="L6" i="21"/>
  <c r="L7" i="21"/>
  <c r="L4" i="21"/>
  <c r="C3" i="20"/>
  <c r="C4" i="20"/>
  <c r="C5" i="20"/>
  <c r="C6" i="20"/>
  <c r="C7" i="20"/>
  <c r="C2" i="20"/>
  <c r="C2" i="19"/>
  <c r="C3" i="19"/>
  <c r="C4" i="19"/>
  <c r="C5" i="19"/>
  <c r="C6" i="19"/>
  <c r="C7" i="19"/>
  <c r="I3" i="23"/>
  <c r="I4" i="23"/>
  <c r="I5" i="23"/>
  <c r="I6" i="23"/>
  <c r="I7" i="23"/>
  <c r="I2" i="23"/>
  <c r="D3" i="23"/>
  <c r="D4" i="23"/>
  <c r="D5" i="23"/>
  <c r="D6" i="23"/>
  <c r="D7" i="23"/>
  <c r="D2" i="23"/>
  <c r="C3" i="18"/>
  <c r="C4" i="18"/>
  <c r="C5" i="18"/>
  <c r="C6" i="18"/>
  <c r="C7" i="18"/>
  <c r="C8" i="18"/>
  <c r="C9" i="18"/>
  <c r="C10" i="18"/>
  <c r="C2" i="18"/>
  <c r="D3" i="18"/>
  <c r="D4" i="18"/>
  <c r="D5" i="18"/>
  <c r="D6" i="18"/>
  <c r="D7" i="18"/>
  <c r="D8" i="18"/>
  <c r="D9" i="18"/>
  <c r="D10" i="18"/>
  <c r="D2" i="18"/>
  <c r="C3" i="17"/>
  <c r="C4" i="17"/>
  <c r="C5" i="17"/>
  <c r="C6" i="17"/>
  <c r="C7" i="17"/>
  <c r="C8" i="17"/>
  <c r="C9" i="17"/>
  <c r="C10" i="17"/>
  <c r="C3" i="16"/>
  <c r="C4" i="16"/>
  <c r="C5" i="16"/>
  <c r="C6" i="16"/>
  <c r="C7" i="16"/>
  <c r="C8" i="16"/>
  <c r="C9" i="16"/>
  <c r="C2" i="16"/>
  <c r="C3" i="13"/>
  <c r="C4" i="13"/>
  <c r="C5" i="13"/>
  <c r="C6" i="13"/>
  <c r="C7" i="13"/>
  <c r="C8" i="13"/>
  <c r="C9" i="13"/>
  <c r="C2" i="13"/>
  <c r="C3" i="24"/>
  <c r="C4" i="24"/>
  <c r="C5" i="24"/>
  <c r="C6" i="24"/>
  <c r="C7" i="24"/>
  <c r="C2" i="24"/>
  <c r="E3" i="14"/>
  <c r="E4" i="14"/>
  <c r="E5" i="14"/>
  <c r="E6" i="14"/>
  <c r="E7" i="14"/>
  <c r="E2" i="14"/>
  <c r="D3" i="14"/>
  <c r="D4" i="14"/>
  <c r="D5" i="14"/>
  <c r="D6" i="14"/>
  <c r="D7" i="14"/>
  <c r="D2" i="14"/>
  <c r="C3" i="14"/>
  <c r="C4" i="14"/>
  <c r="C5" i="14"/>
  <c r="C6" i="14"/>
  <c r="C7" i="14"/>
  <c r="C2" i="14"/>
  <c r="C3" i="4"/>
  <c r="C4" i="4"/>
  <c r="C5" i="4"/>
  <c r="C6" i="4"/>
  <c r="C7" i="4"/>
  <c r="C2" i="4"/>
  <c r="E1" i="17"/>
  <c r="C2" i="17" s="1"/>
  <c r="E4" i="25"/>
  <c r="E3" i="25"/>
  <c r="E2" i="25"/>
</calcChain>
</file>

<file path=xl/sharedStrings.xml><?xml version="1.0" encoding="utf-8"?>
<sst xmlns="http://schemas.openxmlformats.org/spreadsheetml/2006/main" count="196" uniqueCount="64">
  <si>
    <t>Date</t>
  </si>
  <si>
    <t>Game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</si>
  <si>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</si>
  <si>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</si>
  <si>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</si>
  <si>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</si>
  <si>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</si>
  <si>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</si>
  <si>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</si>
  <si>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</si>
  <si>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</si>
  <si>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Status</t>
  </si>
  <si>
    <t>Result</t>
  </si>
  <si>
    <t>Product</t>
  </si>
  <si>
    <t>Cherries</t>
  </si>
  <si>
    <t>Bananas</t>
  </si>
  <si>
    <t>Apples</t>
  </si>
  <si>
    <t>Oranges</t>
  </si>
  <si>
    <t>Delivery Status</t>
  </si>
  <si>
    <t>Action required</t>
  </si>
  <si>
    <t>Lemons</t>
  </si>
  <si>
    <t>Kiwis</t>
  </si>
  <si>
    <t>Mangos</t>
  </si>
  <si>
    <t>Peaches</t>
  </si>
  <si>
    <t>Delivered</t>
  </si>
  <si>
    <t>In transit</t>
  </si>
  <si>
    <t>Out for delivery</t>
  </si>
  <si>
    <t>Name</t>
  </si>
  <si>
    <t xml:space="preserve"> </t>
  </si>
  <si>
    <t>delivered</t>
  </si>
  <si>
    <t>DELIVERED</t>
  </si>
  <si>
    <t>Emma</t>
  </si>
  <si>
    <t>Ava</t>
  </si>
  <si>
    <t>Aiden</t>
  </si>
  <si>
    <t>Lucas</t>
  </si>
  <si>
    <t>Liam</t>
  </si>
  <si>
    <t>Ethan</t>
  </si>
  <si>
    <t>Score</t>
  </si>
  <si>
    <t>Bonus</t>
  </si>
  <si>
    <t>Over 90</t>
  </si>
  <si>
    <t>Art</t>
  </si>
  <si>
    <t>Result (AND)</t>
  </si>
  <si>
    <t>Result (OR)</t>
  </si>
  <si>
    <t>Science</t>
  </si>
  <si>
    <t>Password</t>
  </si>
  <si>
    <t>iX=(0gh6</t>
  </si>
  <si>
    <t>-#?B2)YR</t>
  </si>
  <si>
    <t>`Jup}tuO</t>
  </si>
  <si>
    <t>]|b1M&amp;Ng</t>
  </si>
  <si>
    <t>IN9!G]W1</t>
  </si>
  <si>
    <t>8qJqEf2w</t>
  </si>
  <si>
    <t>-#?B2(YR</t>
  </si>
  <si>
    <t>8qJqE2w</t>
  </si>
  <si>
    <t>Jup}TuO</t>
  </si>
  <si>
    <t>Repeat Password</t>
  </si>
  <si>
    <t>Top 3 scores</t>
  </si>
  <si>
    <t>In  top 3?</t>
  </si>
  <si>
    <t>Delivery status</t>
  </si>
  <si>
    <t xml:space="preserve">90 to 81 </t>
  </si>
  <si>
    <t xml:space="preserve">80 to 70 </t>
  </si>
  <si>
    <t xml:space="preserve">Under 70 </t>
  </si>
  <si>
    <t>ix=(0gh6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</si>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</sst>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49" fontId="0" fillId="0" borderId="0" xfId="0" applyNumberFormat="1"/>
    <xf numFmtId="0" fontId="1" fillId="3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/>
  </cellXfs>
  <cellStyles count="3">
    <cellStyle name="Hyperlink 3" xfId="2" xr:uid="{2BB032AC-2264-460F-A340-19ECE35ABB9E}"/>
    <cellStyle name="Normal" xfId="0" builtinId="0"/>
    <cellStyle name="Normal 3" xfId="1" xr:uid="{55F6CED5-4708-4380-A3E6-289AC6C6EFFC}"/>
  </cellStyles>
  <dxfs count="0"/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07" zoomScaleNormal="107" workbookViewId="0">
      <selection activeCell="D26" sqref="D26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12</v>
      </c>
    </row>
    <row r="2" spans="1:3" x14ac:dyDescent="0.3">
      <c r="A2" t="s">
        <v>33</v>
      </c>
      <c r="B2">
        <v>88</v>
      </c>
      <c r="C2" s="1" t="str">
        <f>IF(B2&gt;80,"Pass","Fail")</f>
        <v>Pass</v>
      </c>
    </row>
    <row r="3" spans="1:3" x14ac:dyDescent="0.3">
      <c r="A3" t="s">
        <v>32</v>
      </c>
      <c r="B3">
        <v>61</v>
      </c>
      <c r="C3" s="1" t="str">
        <f t="shared" ref="C3:C7" si="0">IF(B3&gt;80,"Pass","Fail")</f>
        <v>Fail</v>
      </c>
    </row>
    <row r="4" spans="1:3" x14ac:dyDescent="0.3">
      <c r="A4" t="s">
        <v>31</v>
      </c>
      <c r="B4">
        <v>94</v>
      </c>
      <c r="C4" s="1" t="str">
        <f t="shared" si="0"/>
        <v>Pass</v>
      </c>
    </row>
    <row r="5" spans="1:3" x14ac:dyDescent="0.3">
      <c r="A5" t="s">
        <v>36</v>
      </c>
      <c r="B5">
        <v>73</v>
      </c>
      <c r="C5" s="1" t="str">
        <f t="shared" si="0"/>
        <v>Fail</v>
      </c>
    </row>
    <row r="6" spans="1:3" x14ac:dyDescent="0.3">
      <c r="A6" t="s">
        <v>35</v>
      </c>
      <c r="B6">
        <v>64</v>
      </c>
      <c r="C6" s="1" t="str">
        <f t="shared" si="0"/>
        <v>Fail</v>
      </c>
    </row>
    <row r="7" spans="1:3" x14ac:dyDescent="0.3">
      <c r="A7" t="s">
        <v>34</v>
      </c>
      <c r="B7">
        <v>83</v>
      </c>
      <c r="C7" s="1" t="str">
        <f t="shared" si="0"/>
        <v>Pass</v>
      </c>
    </row>
    <row r="18" spans="7:7" x14ac:dyDescent="0.3">
      <c r="G18" t="s">
        <v>28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EAA2-67D3-43F3-BFFF-A684B30C0BAD}">
  <dimension ref="A1:G18"/>
  <sheetViews>
    <sheetView workbookViewId="0">
      <selection activeCell="D28" sqref="D28"/>
    </sheetView>
  </sheetViews>
  <sheetFormatPr defaultRowHeight="14.4" x14ac:dyDescent="0.3"/>
  <cols>
    <col min="1" max="5" width="15" customWidth="1"/>
  </cols>
  <sheetData>
    <row r="1" spans="1:5" x14ac:dyDescent="0.3">
      <c r="A1" s="3" t="s">
        <v>27</v>
      </c>
      <c r="B1" s="3" t="s">
        <v>37</v>
      </c>
      <c r="C1" s="3" t="s">
        <v>12</v>
      </c>
      <c r="D1" s="3" t="s">
        <v>12</v>
      </c>
      <c r="E1" s="3" t="s">
        <v>12</v>
      </c>
    </row>
    <row r="2" spans="1:5" x14ac:dyDescent="0.3">
      <c r="A2" t="s">
        <v>33</v>
      </c>
      <c r="B2" s="4">
        <v>88</v>
      </c>
      <c r="C2" s="4" t="str">
        <f>IF(B2&gt;80,"pass")</f>
        <v>pass</v>
      </c>
      <c r="D2" s="4" t="str">
        <f>IF(B2&gt;80,"Pass",)</f>
        <v>Pass</v>
      </c>
      <c r="E2" s="4" t="str">
        <f>IF(B2&gt;80,"pass","")</f>
        <v>pass</v>
      </c>
    </row>
    <row r="3" spans="1:5" x14ac:dyDescent="0.3">
      <c r="A3" t="s">
        <v>32</v>
      </c>
      <c r="B3" s="4">
        <v>61</v>
      </c>
      <c r="C3" s="4" t="b">
        <f t="shared" ref="C3:C7" si="0">IF(B3&gt;80,"pass")</f>
        <v>0</v>
      </c>
      <c r="D3" s="4">
        <f t="shared" ref="D3:D7" si="1">IF(B3&gt;80,"Pass",)</f>
        <v>0</v>
      </c>
      <c r="E3" s="4" t="str">
        <f t="shared" ref="E3:E7" si="2">IF(B3&gt;80,"pass","")</f>
        <v/>
      </c>
    </row>
    <row r="4" spans="1:5" x14ac:dyDescent="0.3">
      <c r="A4" t="s">
        <v>31</v>
      </c>
      <c r="B4" s="4">
        <v>94</v>
      </c>
      <c r="C4" s="4" t="str">
        <f t="shared" si="0"/>
        <v>pass</v>
      </c>
      <c r="D4" s="4" t="str">
        <f t="shared" si="1"/>
        <v>Pass</v>
      </c>
      <c r="E4" s="4" t="str">
        <f t="shared" si="2"/>
        <v>pass</v>
      </c>
    </row>
    <row r="5" spans="1:5" x14ac:dyDescent="0.3">
      <c r="A5" t="s">
        <v>36</v>
      </c>
      <c r="B5" s="4">
        <v>73</v>
      </c>
      <c r="C5" s="4" t="b">
        <f t="shared" si="0"/>
        <v>0</v>
      </c>
      <c r="D5" s="4">
        <f t="shared" si="1"/>
        <v>0</v>
      </c>
      <c r="E5" s="4" t="str">
        <f t="shared" si="2"/>
        <v/>
      </c>
    </row>
    <row r="6" spans="1:5" x14ac:dyDescent="0.3">
      <c r="A6" t="s">
        <v>35</v>
      </c>
      <c r="B6" s="4">
        <v>64</v>
      </c>
      <c r="C6" s="4" t="b">
        <f t="shared" si="0"/>
        <v>0</v>
      </c>
      <c r="D6" s="4">
        <f t="shared" si="1"/>
        <v>0</v>
      </c>
      <c r="E6" s="4" t="str">
        <f t="shared" si="2"/>
        <v/>
      </c>
    </row>
    <row r="7" spans="1:5" x14ac:dyDescent="0.3">
      <c r="A7" t="s">
        <v>34</v>
      </c>
      <c r="B7" s="4">
        <v>83</v>
      </c>
      <c r="C7" s="4" t="str">
        <f t="shared" si="0"/>
        <v>pass</v>
      </c>
      <c r="D7" s="4" t="str">
        <f t="shared" si="1"/>
        <v>Pass</v>
      </c>
      <c r="E7" s="4" t="str">
        <f t="shared" si="2"/>
        <v>pass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6528-7CDD-45D4-BFD9-CDD10C5B69BC}">
  <dimension ref="A1:G18"/>
  <sheetViews>
    <sheetView workbookViewId="0">
      <selection activeCell="I8" sqref="I8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11</v>
      </c>
    </row>
    <row r="2" spans="1:3" x14ac:dyDescent="0.3">
      <c r="A2" t="s">
        <v>33</v>
      </c>
      <c r="B2">
        <v>88</v>
      </c>
      <c r="C2" t="str">
        <f>IF(B2&lt;0,"Negative","Positive")</f>
        <v>Positive</v>
      </c>
    </row>
    <row r="3" spans="1:3" x14ac:dyDescent="0.3">
      <c r="A3" t="s">
        <v>32</v>
      </c>
      <c r="B3">
        <v>-62</v>
      </c>
      <c r="C3" t="str">
        <f t="shared" ref="C3:C7" si="0">IF(B3&lt;0,"Negative","Positive")</f>
        <v>Negative</v>
      </c>
    </row>
    <row r="4" spans="1:3" x14ac:dyDescent="0.3">
      <c r="A4" t="s">
        <v>31</v>
      </c>
      <c r="B4">
        <v>94</v>
      </c>
      <c r="C4" t="str">
        <f t="shared" si="0"/>
        <v>Positive</v>
      </c>
    </row>
    <row r="5" spans="1:3" x14ac:dyDescent="0.3">
      <c r="A5" t="s">
        <v>36</v>
      </c>
      <c r="B5">
        <v>73</v>
      </c>
      <c r="C5" t="str">
        <f t="shared" si="0"/>
        <v>Positive</v>
      </c>
    </row>
    <row r="6" spans="1:3" x14ac:dyDescent="0.3">
      <c r="A6" t="s">
        <v>35</v>
      </c>
      <c r="B6">
        <v>-10</v>
      </c>
      <c r="C6" t="str">
        <f t="shared" si="0"/>
        <v>Negative</v>
      </c>
    </row>
    <row r="7" spans="1:3" x14ac:dyDescent="0.3">
      <c r="A7" t="s">
        <v>34</v>
      </c>
      <c r="B7">
        <v>83</v>
      </c>
      <c r="C7" t="str">
        <f t="shared" si="0"/>
        <v>Positive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BD5-9B1D-44DB-B5E7-C2DB6AE4E73A}">
  <dimension ref="A1:J21"/>
  <sheetViews>
    <sheetView workbookViewId="0">
      <selection activeCell="G4" sqref="G4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3" t="s">
        <v>13</v>
      </c>
      <c r="B1" s="3" t="s">
        <v>57</v>
      </c>
      <c r="C1" s="3" t="s">
        <v>19</v>
      </c>
    </row>
    <row r="2" spans="1:8" x14ac:dyDescent="0.3">
      <c r="A2" t="s">
        <v>16</v>
      </c>
      <c r="B2" t="s">
        <v>29</v>
      </c>
      <c r="C2" s="4" t="str">
        <f>IF(B2="delivered","NO","Yes")</f>
        <v>NO</v>
      </c>
    </row>
    <row r="3" spans="1:8" x14ac:dyDescent="0.3">
      <c r="A3" t="s">
        <v>15</v>
      </c>
      <c r="B3" t="s">
        <v>25</v>
      </c>
      <c r="C3" s="4" t="str">
        <f t="shared" ref="C3:C9" si="0">IF(B3="delivered","NO","Yes")</f>
        <v>Yes</v>
      </c>
    </row>
    <row r="4" spans="1:8" x14ac:dyDescent="0.3">
      <c r="A4" t="s">
        <v>14</v>
      </c>
      <c r="B4" t="s">
        <v>24</v>
      </c>
      <c r="C4" s="4" t="str">
        <f t="shared" si="0"/>
        <v>NO</v>
      </c>
    </row>
    <row r="5" spans="1:8" x14ac:dyDescent="0.3">
      <c r="A5" t="s">
        <v>21</v>
      </c>
      <c r="B5" t="s">
        <v>26</v>
      </c>
      <c r="C5" s="4" t="str">
        <f t="shared" si="0"/>
        <v>Yes</v>
      </c>
    </row>
    <row r="6" spans="1:8" x14ac:dyDescent="0.3">
      <c r="A6" t="s">
        <v>20</v>
      </c>
      <c r="B6" t="s">
        <v>25</v>
      </c>
      <c r="C6" s="4" t="str">
        <f t="shared" si="0"/>
        <v>Yes</v>
      </c>
    </row>
    <row r="7" spans="1:8" x14ac:dyDescent="0.3">
      <c r="A7" t="s">
        <v>22</v>
      </c>
      <c r="B7" t="s">
        <v>24</v>
      </c>
      <c r="C7" s="4" t="str">
        <f t="shared" si="0"/>
        <v>NO</v>
      </c>
    </row>
    <row r="8" spans="1:8" x14ac:dyDescent="0.3">
      <c r="A8" t="s">
        <v>17</v>
      </c>
      <c r="B8" t="s">
        <v>30</v>
      </c>
      <c r="C8" s="4" t="str">
        <f t="shared" si="0"/>
        <v>NO</v>
      </c>
      <c r="H8" t="s">
        <v>28</v>
      </c>
    </row>
    <row r="9" spans="1:8" x14ac:dyDescent="0.3">
      <c r="A9" t="s">
        <v>23</v>
      </c>
      <c r="B9" t="s">
        <v>26</v>
      </c>
      <c r="C9" s="4" t="str">
        <f t="shared" si="0"/>
        <v>Yes</v>
      </c>
    </row>
    <row r="21" spans="10:10" x14ac:dyDescent="0.3">
      <c r="J21" t="s">
        <v>28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8AD-F039-4941-80DA-5D987A4A2B45}">
  <dimension ref="A1:J21"/>
  <sheetViews>
    <sheetView workbookViewId="0">
      <selection activeCell="G6" sqref="G6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3" t="s">
        <v>13</v>
      </c>
      <c r="B1" s="3" t="s">
        <v>18</v>
      </c>
      <c r="C1" s="3" t="s">
        <v>19</v>
      </c>
    </row>
    <row r="2" spans="1:8" x14ac:dyDescent="0.3">
      <c r="A2" t="s">
        <v>16</v>
      </c>
      <c r="B2" t="s">
        <v>29</v>
      </c>
      <c r="C2" s="4" t="str">
        <f>IF(EXACT(B2,"delivered"),"No","Yes")</f>
        <v>No</v>
      </c>
    </row>
    <row r="3" spans="1:8" x14ac:dyDescent="0.3">
      <c r="A3" t="s">
        <v>15</v>
      </c>
      <c r="B3" t="s">
        <v>25</v>
      </c>
      <c r="C3" s="4" t="str">
        <f t="shared" ref="C3:C9" si="0">IF(EXACT(B3,"delivered"),"No","Yes")</f>
        <v>Yes</v>
      </c>
    </row>
    <row r="4" spans="1:8" x14ac:dyDescent="0.3">
      <c r="A4" t="s">
        <v>14</v>
      </c>
      <c r="B4" t="s">
        <v>24</v>
      </c>
      <c r="C4" s="4" t="str">
        <f t="shared" si="0"/>
        <v>Yes</v>
      </c>
    </row>
    <row r="5" spans="1:8" x14ac:dyDescent="0.3">
      <c r="A5" t="s">
        <v>21</v>
      </c>
      <c r="B5" t="s">
        <v>26</v>
      </c>
      <c r="C5" s="4" t="str">
        <f t="shared" si="0"/>
        <v>Yes</v>
      </c>
    </row>
    <row r="6" spans="1:8" x14ac:dyDescent="0.3">
      <c r="A6" t="s">
        <v>20</v>
      </c>
      <c r="B6" t="s">
        <v>25</v>
      </c>
      <c r="C6" s="4" t="str">
        <f t="shared" si="0"/>
        <v>Yes</v>
      </c>
    </row>
    <row r="7" spans="1:8" x14ac:dyDescent="0.3">
      <c r="A7" t="s">
        <v>22</v>
      </c>
      <c r="B7" t="s">
        <v>24</v>
      </c>
      <c r="C7" s="4" t="str">
        <f t="shared" si="0"/>
        <v>Yes</v>
      </c>
    </row>
    <row r="8" spans="1:8" x14ac:dyDescent="0.3">
      <c r="A8" t="s">
        <v>17</v>
      </c>
      <c r="B8" t="s">
        <v>30</v>
      </c>
      <c r="C8" s="4" t="str">
        <f t="shared" si="0"/>
        <v>Yes</v>
      </c>
      <c r="H8" t="s">
        <v>28</v>
      </c>
    </row>
    <row r="9" spans="1:8" x14ac:dyDescent="0.3">
      <c r="A9" t="s">
        <v>23</v>
      </c>
      <c r="B9" t="s">
        <v>26</v>
      </c>
      <c r="C9" s="4" t="str">
        <f t="shared" si="0"/>
        <v>Yes</v>
      </c>
    </row>
    <row r="21" spans="10:10" x14ac:dyDescent="0.3">
      <c r="J21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3C67-2331-4E91-97E2-116D50D54542}">
  <dimension ref="A1:I21"/>
  <sheetViews>
    <sheetView workbookViewId="0">
      <selection activeCell="C2" sqref="C2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7" x14ac:dyDescent="0.3">
      <c r="A1" s="3" t="s">
        <v>13</v>
      </c>
      <c r="B1" s="3" t="s">
        <v>18</v>
      </c>
      <c r="C1" s="3" t="s">
        <v>19</v>
      </c>
    </row>
    <row r="2" spans="1:7" x14ac:dyDescent="0.3">
      <c r="A2" t="s">
        <v>16</v>
      </c>
      <c r="B2" t="s">
        <v>29</v>
      </c>
      <c r="C2" s="4"/>
    </row>
    <row r="3" spans="1:7" x14ac:dyDescent="0.3">
      <c r="A3" t="s">
        <v>15</v>
      </c>
      <c r="B3" t="s">
        <v>25</v>
      </c>
      <c r="C3" s="4"/>
    </row>
    <row r="4" spans="1:7" x14ac:dyDescent="0.3">
      <c r="A4" t="s">
        <v>14</v>
      </c>
      <c r="B4" t="s">
        <v>24</v>
      </c>
      <c r="C4" s="4"/>
    </row>
    <row r="5" spans="1:7" x14ac:dyDescent="0.3">
      <c r="A5" t="s">
        <v>21</v>
      </c>
      <c r="B5" t="s">
        <v>26</v>
      </c>
      <c r="C5" s="4"/>
    </row>
    <row r="6" spans="1:7" x14ac:dyDescent="0.3">
      <c r="A6" t="s">
        <v>20</v>
      </c>
      <c r="B6" t="s">
        <v>25</v>
      </c>
      <c r="C6" s="4"/>
    </row>
    <row r="7" spans="1:7" x14ac:dyDescent="0.3">
      <c r="A7" t="s">
        <v>22</v>
      </c>
      <c r="B7" t="s">
        <v>24</v>
      </c>
      <c r="C7" s="4"/>
    </row>
    <row r="8" spans="1:7" x14ac:dyDescent="0.3">
      <c r="A8" t="s">
        <v>17</v>
      </c>
      <c r="B8" t="s">
        <v>30</v>
      </c>
      <c r="C8" s="4"/>
      <c r="G8" t="s">
        <v>28</v>
      </c>
    </row>
    <row r="9" spans="1:7" x14ac:dyDescent="0.3">
      <c r="A9" t="s">
        <v>23</v>
      </c>
      <c r="B9" t="s">
        <v>26</v>
      </c>
      <c r="C9" s="4"/>
    </row>
    <row r="21" spans="9:9" x14ac:dyDescent="0.3">
      <c r="I21" t="s">
        <v>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0CF-CFCD-40F3-9255-C19C5D6939DE}">
  <dimension ref="A1:I10"/>
  <sheetViews>
    <sheetView workbookViewId="0">
      <selection activeCell="H3" sqref="H3"/>
    </sheetView>
  </sheetViews>
  <sheetFormatPr defaultRowHeight="14.4" x14ac:dyDescent="0.3"/>
  <cols>
    <col min="1" max="1" width="9.77734375" customWidth="1"/>
    <col min="2" max="2" width="11.21875" customWidth="1"/>
    <col min="3" max="3" width="14.44140625" customWidth="1"/>
    <col min="5" max="5" width="17" customWidth="1"/>
  </cols>
  <sheetData>
    <row r="1" spans="1:9" x14ac:dyDescent="0.3">
      <c r="A1" s="3" t="s">
        <v>1</v>
      </c>
      <c r="B1" s="3" t="s">
        <v>0</v>
      </c>
      <c r="C1" s="3" t="s">
        <v>11</v>
      </c>
      <c r="E1" s="5" t="str">
        <f ca="1">"Today is "&amp;TEXT(TODAY(), "dd-mmm-yy")</f>
        <v>Today is 02-Sep-26</v>
      </c>
    </row>
    <row r="2" spans="1:9" x14ac:dyDescent="0.3">
      <c r="A2" t="s">
        <v>2</v>
      </c>
      <c r="B2" s="2">
        <v>44776.325428240743</v>
      </c>
      <c r="C2" t="str">
        <f ca="1">IF(B2&gt;$E1,"Coming Soon","Copleted")</f>
        <v>Copleted</v>
      </c>
    </row>
    <row r="3" spans="1:9" x14ac:dyDescent="0.3">
      <c r="A3" t="s">
        <v>3</v>
      </c>
      <c r="B3" s="2">
        <v>44811.726469907408</v>
      </c>
      <c r="C3" t="str">
        <f t="shared" ref="C3:C10" si="0">IF(B3&gt;$E2,"Coming Soon","Copleted")</f>
        <v>Coming Soon</v>
      </c>
      <c r="H3" s="2"/>
    </row>
    <row r="4" spans="1:9" x14ac:dyDescent="0.3">
      <c r="A4" t="s">
        <v>4</v>
      </c>
      <c r="B4" s="2">
        <v>44700.567650462966</v>
      </c>
      <c r="C4" t="str">
        <f t="shared" si="0"/>
        <v>Coming Soon</v>
      </c>
    </row>
    <row r="5" spans="1:9" x14ac:dyDescent="0.3">
      <c r="A5" t="s">
        <v>5</v>
      </c>
      <c r="B5" s="2">
        <v>44718.698819444442</v>
      </c>
      <c r="C5" t="str">
        <f t="shared" si="0"/>
        <v>Coming Soon</v>
      </c>
    </row>
    <row r="6" spans="1:9" x14ac:dyDescent="0.3">
      <c r="A6" t="s">
        <v>6</v>
      </c>
      <c r="B6" s="2">
        <v>44775.694803240738</v>
      </c>
      <c r="C6" t="str">
        <f t="shared" si="0"/>
        <v>Coming Soon</v>
      </c>
    </row>
    <row r="7" spans="1:9" x14ac:dyDescent="0.3">
      <c r="A7" t="s">
        <v>7</v>
      </c>
      <c r="B7" s="2">
        <v>44742.876712962963</v>
      </c>
      <c r="C7" t="str">
        <f t="shared" si="0"/>
        <v>Coming Soon</v>
      </c>
    </row>
    <row r="8" spans="1:9" x14ac:dyDescent="0.3">
      <c r="A8" t="s">
        <v>8</v>
      </c>
      <c r="B8" s="2">
        <v>44704.218958333331</v>
      </c>
      <c r="C8" t="str">
        <f t="shared" si="0"/>
        <v>Coming Soon</v>
      </c>
    </row>
    <row r="9" spans="1:9" x14ac:dyDescent="0.3">
      <c r="A9" t="s">
        <v>9</v>
      </c>
      <c r="B9" s="2">
        <v>44719.58934027778</v>
      </c>
      <c r="C9" t="str">
        <f t="shared" si="0"/>
        <v>Coming Soon</v>
      </c>
      <c r="I9" t="s">
        <v>28</v>
      </c>
    </row>
    <row r="10" spans="1:9" x14ac:dyDescent="0.3">
      <c r="A10" t="s">
        <v>10</v>
      </c>
      <c r="B10" s="2">
        <v>44754.088171296295</v>
      </c>
      <c r="C10" t="str">
        <f t="shared" si="0"/>
        <v>Coming Soon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C54-CFDD-4A0E-892C-D6E4A1A662F5}">
  <dimension ref="A1:I10"/>
  <sheetViews>
    <sheetView workbookViewId="0">
      <selection activeCell="C2" sqref="C2:C10"/>
    </sheetView>
  </sheetViews>
  <sheetFormatPr defaultRowHeight="14.4" x14ac:dyDescent="0.3"/>
  <cols>
    <col min="1" max="1" width="9.77734375" customWidth="1"/>
    <col min="2" max="2" width="11.21875" customWidth="1"/>
    <col min="3" max="3" width="14.44140625" customWidth="1"/>
    <col min="4" max="4" width="9.88671875" bestFit="1" customWidth="1"/>
  </cols>
  <sheetData>
    <row r="1" spans="1:9" x14ac:dyDescent="0.3">
      <c r="A1" s="3" t="s">
        <v>1</v>
      </c>
      <c r="B1" s="3" t="s">
        <v>0</v>
      </c>
      <c r="C1" s="3" t="s">
        <v>11</v>
      </c>
    </row>
    <row r="2" spans="1:9" x14ac:dyDescent="0.3">
      <c r="A2" t="s">
        <v>2</v>
      </c>
      <c r="B2" s="2">
        <v>44776.325428240743</v>
      </c>
      <c r="C2" t="str">
        <f>IF(B2="","","Completed")</f>
        <v>Completed</v>
      </c>
      <c r="D2" t="str">
        <f>IF(ISBLANK(B2),"","Completed")</f>
        <v>Completed</v>
      </c>
    </row>
    <row r="3" spans="1:9" x14ac:dyDescent="0.3">
      <c r="A3" t="s">
        <v>3</v>
      </c>
      <c r="B3" s="2"/>
      <c r="C3" t="str">
        <f t="shared" ref="C3:C10" si="0">IF(B3="","","Completed")</f>
        <v/>
      </c>
      <c r="D3" t="str">
        <f t="shared" ref="D3:D10" si="1">IF(ISBLANK(B3),"","Completed")</f>
        <v/>
      </c>
    </row>
    <row r="4" spans="1:9" x14ac:dyDescent="0.3">
      <c r="A4" t="s">
        <v>4</v>
      </c>
      <c r="B4" s="2">
        <v>44700.567650462966</v>
      </c>
      <c r="C4" t="str">
        <f t="shared" si="0"/>
        <v>Completed</v>
      </c>
      <c r="D4" t="str">
        <f t="shared" si="1"/>
        <v>Completed</v>
      </c>
    </row>
    <row r="5" spans="1:9" x14ac:dyDescent="0.3">
      <c r="A5" t="s">
        <v>5</v>
      </c>
      <c r="B5" s="2">
        <v>44718.698819444442</v>
      </c>
      <c r="C5" t="str">
        <f t="shared" si="0"/>
        <v>Completed</v>
      </c>
      <c r="D5" t="str">
        <f t="shared" si="1"/>
        <v>Completed</v>
      </c>
    </row>
    <row r="6" spans="1:9" x14ac:dyDescent="0.3">
      <c r="A6" t="s">
        <v>6</v>
      </c>
      <c r="B6" s="2"/>
      <c r="C6" t="str">
        <f t="shared" si="0"/>
        <v/>
      </c>
      <c r="D6" t="str">
        <f t="shared" si="1"/>
        <v/>
      </c>
    </row>
    <row r="7" spans="1:9" x14ac:dyDescent="0.3">
      <c r="A7" t="s">
        <v>7</v>
      </c>
      <c r="B7" s="2">
        <v>44742.876712962963</v>
      </c>
      <c r="C7" t="str">
        <f t="shared" si="0"/>
        <v>Completed</v>
      </c>
      <c r="D7" t="str">
        <f t="shared" si="1"/>
        <v>Completed</v>
      </c>
    </row>
    <row r="8" spans="1:9" x14ac:dyDescent="0.3">
      <c r="A8" t="s">
        <v>8</v>
      </c>
      <c r="B8" s="2"/>
      <c r="C8" t="str">
        <f t="shared" si="0"/>
        <v/>
      </c>
      <c r="D8" t="str">
        <f t="shared" si="1"/>
        <v/>
      </c>
    </row>
    <row r="9" spans="1:9" x14ac:dyDescent="0.3">
      <c r="A9" t="s">
        <v>9</v>
      </c>
      <c r="B9" s="2">
        <v>44719.58934027778</v>
      </c>
      <c r="C9" t="str">
        <f t="shared" si="0"/>
        <v>Completed</v>
      </c>
      <c r="D9" t="str">
        <f t="shared" si="1"/>
        <v>Completed</v>
      </c>
      <c r="I9" t="s">
        <v>28</v>
      </c>
    </row>
    <row r="10" spans="1:9" x14ac:dyDescent="0.3">
      <c r="A10" t="s">
        <v>10</v>
      </c>
      <c r="B10" s="2">
        <v>44754.088171296295</v>
      </c>
      <c r="C10" t="str">
        <f t="shared" si="0"/>
        <v>Completed</v>
      </c>
      <c r="D10" t="str">
        <f t="shared" si="1"/>
        <v>Completed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BF5C-2FA5-4F9A-BE7E-9C5D31AC089E}">
  <dimension ref="A1:I7"/>
  <sheetViews>
    <sheetView workbookViewId="0">
      <selection activeCell="K4" sqref="K4"/>
    </sheetView>
  </sheetViews>
  <sheetFormatPr defaultRowHeight="14.4" x14ac:dyDescent="0.3"/>
  <cols>
    <col min="1" max="4" width="12.21875" customWidth="1"/>
    <col min="7" max="9" width="16.5546875" customWidth="1"/>
  </cols>
  <sheetData>
    <row r="1" spans="1:9" x14ac:dyDescent="0.3">
      <c r="A1" s="3" t="s">
        <v>27</v>
      </c>
      <c r="B1" s="3" t="s">
        <v>43</v>
      </c>
      <c r="C1" s="3" t="s">
        <v>40</v>
      </c>
      <c r="D1" s="3" t="s">
        <v>11</v>
      </c>
      <c r="G1" s="3" t="s">
        <v>44</v>
      </c>
      <c r="H1" s="3" t="s">
        <v>54</v>
      </c>
      <c r="I1" s="3" t="s">
        <v>11</v>
      </c>
    </row>
    <row r="2" spans="1:9" x14ac:dyDescent="0.3">
      <c r="A2" t="s">
        <v>33</v>
      </c>
      <c r="B2" s="4">
        <v>88</v>
      </c>
      <c r="C2" s="4">
        <v>71</v>
      </c>
      <c r="D2" s="4" t="str">
        <f>IF(B2=C2,"Same score","")</f>
        <v/>
      </c>
      <c r="G2" s="12" t="s">
        <v>45</v>
      </c>
      <c r="H2" s="12" t="s">
        <v>61</v>
      </c>
      <c r="I2" s="4" t="str">
        <f>IF(EXACT(G2,H2),"Match","")</f>
        <v/>
      </c>
    </row>
    <row r="3" spans="1:9" x14ac:dyDescent="0.3">
      <c r="A3" t="s">
        <v>32</v>
      </c>
      <c r="B3" s="4">
        <v>61</v>
      </c>
      <c r="C3" s="4">
        <v>70</v>
      </c>
      <c r="D3" s="4" t="str">
        <f t="shared" ref="D3:D7" si="0">IF(B3=C3,"Same score","")</f>
        <v/>
      </c>
      <c r="G3" s="12" t="s">
        <v>46</v>
      </c>
      <c r="H3" s="12" t="s">
        <v>51</v>
      </c>
      <c r="I3" s="4" t="str">
        <f t="shared" ref="I3:I7" si="1">IF(EXACT(G3,H3),"Match","")</f>
        <v/>
      </c>
    </row>
    <row r="4" spans="1:9" x14ac:dyDescent="0.3">
      <c r="A4" t="s">
        <v>31</v>
      </c>
      <c r="B4" s="4">
        <v>94</v>
      </c>
      <c r="C4" s="4">
        <v>94</v>
      </c>
      <c r="D4" s="4" t="str">
        <f t="shared" si="0"/>
        <v>Same score</v>
      </c>
      <c r="G4" s="12" t="s">
        <v>53</v>
      </c>
      <c r="H4" s="12" t="s">
        <v>47</v>
      </c>
      <c r="I4" s="4" t="str">
        <f t="shared" si="1"/>
        <v/>
      </c>
    </row>
    <row r="5" spans="1:9" x14ac:dyDescent="0.3">
      <c r="A5" t="s">
        <v>36</v>
      </c>
      <c r="B5" s="4">
        <v>73</v>
      </c>
      <c r="C5" s="4">
        <v>86</v>
      </c>
      <c r="D5" s="4" t="str">
        <f t="shared" si="0"/>
        <v/>
      </c>
      <c r="G5" s="12" t="s">
        <v>48</v>
      </c>
      <c r="H5" s="12" t="s">
        <v>48</v>
      </c>
      <c r="I5" s="4" t="str">
        <f t="shared" si="1"/>
        <v>Match</v>
      </c>
    </row>
    <row r="6" spans="1:9" x14ac:dyDescent="0.3">
      <c r="A6" t="s">
        <v>35</v>
      </c>
      <c r="B6" s="4">
        <v>64</v>
      </c>
      <c r="C6" s="4">
        <v>98</v>
      </c>
      <c r="D6" s="4" t="str">
        <f t="shared" si="0"/>
        <v/>
      </c>
      <c r="G6" s="12" t="s">
        <v>49</v>
      </c>
      <c r="H6" s="12" t="s">
        <v>49</v>
      </c>
      <c r="I6" s="4" t="str">
        <f t="shared" si="1"/>
        <v>Match</v>
      </c>
    </row>
    <row r="7" spans="1:9" x14ac:dyDescent="0.3">
      <c r="A7" t="s">
        <v>34</v>
      </c>
      <c r="B7" s="4">
        <v>83</v>
      </c>
      <c r="C7" s="4">
        <v>83</v>
      </c>
      <c r="D7" s="4" t="str">
        <f t="shared" si="0"/>
        <v>Same score</v>
      </c>
      <c r="G7" s="12" t="s">
        <v>52</v>
      </c>
      <c r="H7" s="12" t="s">
        <v>50</v>
      </c>
      <c r="I7" s="4" t="str">
        <f t="shared" si="1"/>
        <v/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BC2E-5F1A-4C98-B778-1DB90953DE3C}">
  <dimension ref="A1:G18"/>
  <sheetViews>
    <sheetView workbookViewId="0">
      <selection activeCell="E2" sqref="E2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38</v>
      </c>
    </row>
    <row r="2" spans="1:3" x14ac:dyDescent="0.3">
      <c r="A2" t="s">
        <v>33</v>
      </c>
      <c r="B2">
        <v>88</v>
      </c>
      <c r="C2">
        <f>IF(B2&gt;80,B2*7%,B2*5%)</f>
        <v>6.16</v>
      </c>
    </row>
    <row r="3" spans="1:3" x14ac:dyDescent="0.3">
      <c r="A3" t="s">
        <v>32</v>
      </c>
      <c r="B3">
        <v>61</v>
      </c>
      <c r="C3">
        <f t="shared" ref="C3:C7" si="0">IF(B3&gt;80,B3*7%,B3*5%)</f>
        <v>3.0500000000000003</v>
      </c>
    </row>
    <row r="4" spans="1:3" x14ac:dyDescent="0.3">
      <c r="A4" t="s">
        <v>31</v>
      </c>
      <c r="B4">
        <v>94</v>
      </c>
      <c r="C4">
        <f t="shared" si="0"/>
        <v>6.580000000000001</v>
      </c>
    </row>
    <row r="5" spans="1:3" x14ac:dyDescent="0.3">
      <c r="A5" t="s">
        <v>36</v>
      </c>
      <c r="B5">
        <v>73</v>
      </c>
      <c r="C5">
        <f t="shared" si="0"/>
        <v>3.6500000000000004</v>
      </c>
    </row>
    <row r="6" spans="1:3" x14ac:dyDescent="0.3">
      <c r="A6" t="s">
        <v>35</v>
      </c>
      <c r="B6">
        <v>64</v>
      </c>
      <c r="C6">
        <f t="shared" si="0"/>
        <v>3.2</v>
      </c>
    </row>
    <row r="7" spans="1:3" x14ac:dyDescent="0.3">
      <c r="A7" t="s">
        <v>34</v>
      </c>
      <c r="B7">
        <v>83</v>
      </c>
      <c r="C7">
        <f t="shared" si="0"/>
        <v>5.8100000000000005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3A89-6350-4BE5-B581-99C616EBDB78}">
  <dimension ref="A1:G18"/>
  <sheetViews>
    <sheetView workbookViewId="0">
      <selection activeCell="E9" sqref="E9"/>
    </sheetView>
  </sheetViews>
  <sheetFormatPr defaultRowHeight="14.4" x14ac:dyDescent="0.3"/>
  <cols>
    <col min="1" max="2" width="10.21875" customWidth="1"/>
    <col min="3" max="3" width="10.33203125" customWidth="1"/>
    <col min="4" max="4" width="13.21875" customWidth="1"/>
    <col min="5" max="5" width="13.5546875" customWidth="1"/>
    <col min="6" max="6" width="11.44140625" customWidth="1"/>
  </cols>
  <sheetData>
    <row r="1" spans="1:6" x14ac:dyDescent="0.3">
      <c r="A1" s="3" t="s">
        <v>27</v>
      </c>
      <c r="B1" s="3" t="s">
        <v>37</v>
      </c>
      <c r="C1" s="3" t="s">
        <v>38</v>
      </c>
      <c r="E1" s="6" t="s">
        <v>37</v>
      </c>
      <c r="F1" s="7" t="s">
        <v>38</v>
      </c>
    </row>
    <row r="2" spans="1:6" x14ac:dyDescent="0.3">
      <c r="A2" t="s">
        <v>33</v>
      </c>
      <c r="B2">
        <v>88</v>
      </c>
      <c r="C2" s="16">
        <f>IF(B2&gt;90,10%,IF(B2&gt;=81,7%,IF(B2&gt;=70,5%,3%)))</f>
        <v>7.0000000000000007E-2</v>
      </c>
      <c r="E2" s="8" t="s">
        <v>39</v>
      </c>
      <c r="F2" s="9">
        <v>0.1</v>
      </c>
    </row>
    <row r="3" spans="1:6" x14ac:dyDescent="0.3">
      <c r="A3" t="s">
        <v>32</v>
      </c>
      <c r="B3">
        <v>61</v>
      </c>
      <c r="C3" s="16">
        <f t="shared" ref="C3:C7" si="0">IF(B3&gt;90,10%,IF(B3&gt;=81,7%,IF(B3&gt;=70,5%,3%)))</f>
        <v>0.03</v>
      </c>
      <c r="E3" s="8" t="s">
        <v>58</v>
      </c>
      <c r="F3" s="9">
        <v>7.0000000000000007E-2</v>
      </c>
    </row>
    <row r="4" spans="1:6" x14ac:dyDescent="0.3">
      <c r="A4" t="s">
        <v>31</v>
      </c>
      <c r="B4">
        <v>94</v>
      </c>
      <c r="C4" s="16">
        <f t="shared" si="0"/>
        <v>0.1</v>
      </c>
      <c r="E4" s="8" t="s">
        <v>59</v>
      </c>
      <c r="F4" s="9">
        <v>0.05</v>
      </c>
    </row>
    <row r="5" spans="1:6" x14ac:dyDescent="0.3">
      <c r="A5" t="s">
        <v>36</v>
      </c>
      <c r="B5">
        <v>73</v>
      </c>
      <c r="C5" s="16">
        <f t="shared" si="0"/>
        <v>0.05</v>
      </c>
      <c r="E5" s="10" t="s">
        <v>60</v>
      </c>
      <c r="F5" s="11">
        <v>0.03</v>
      </c>
    </row>
    <row r="6" spans="1:6" x14ac:dyDescent="0.3">
      <c r="A6" t="s">
        <v>35</v>
      </c>
      <c r="B6">
        <v>64</v>
      </c>
      <c r="C6" s="16">
        <f t="shared" si="0"/>
        <v>0.03</v>
      </c>
    </row>
    <row r="7" spans="1:6" x14ac:dyDescent="0.3">
      <c r="A7" t="s">
        <v>34</v>
      </c>
      <c r="B7">
        <v>81</v>
      </c>
      <c r="C7" s="16">
        <f t="shared" si="0"/>
        <v>7.0000000000000007E-2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2C3B-1044-4032-AA48-8AEBF0172E90}">
  <dimension ref="A1:P7"/>
  <sheetViews>
    <sheetView workbookViewId="0">
      <selection activeCell="E3" sqref="E3"/>
    </sheetView>
  </sheetViews>
  <sheetFormatPr defaultRowHeight="14.4" x14ac:dyDescent="0.3"/>
  <cols>
    <col min="1" max="3" width="9.21875" customWidth="1"/>
    <col min="4" max="5" width="16.77734375" customWidth="1"/>
  </cols>
  <sheetData>
    <row r="1" spans="1:16" x14ac:dyDescent="0.3">
      <c r="A1" s="3" t="s">
        <v>27</v>
      </c>
      <c r="B1" s="3" t="s">
        <v>43</v>
      </c>
      <c r="C1" s="3" t="s">
        <v>40</v>
      </c>
      <c r="D1" s="3" t="s">
        <v>41</v>
      </c>
      <c r="E1" s="3" t="s">
        <v>42</v>
      </c>
    </row>
    <row r="2" spans="1:16" x14ac:dyDescent="0.3">
      <c r="A2" t="s">
        <v>33</v>
      </c>
      <c r="B2" s="4">
        <v>88</v>
      </c>
      <c r="C2" s="4">
        <v>71</v>
      </c>
      <c r="D2" s="4" t="str">
        <f>IF(AND(B2&gt;80,C2&gt;80),"Pass","Fail")</f>
        <v>Fail</v>
      </c>
      <c r="E2" s="4" t="str">
        <f>IF(OR(B2&gt;80,C2&gt;80),"pass","fail")</f>
        <v>pass</v>
      </c>
    </row>
    <row r="3" spans="1:16" x14ac:dyDescent="0.3">
      <c r="A3" t="s">
        <v>32</v>
      </c>
      <c r="B3" s="4">
        <v>61</v>
      </c>
      <c r="C3" s="4">
        <v>70</v>
      </c>
      <c r="D3" s="4" t="str">
        <f t="shared" ref="D3:D7" si="0">IF(AND(B3&gt;80,C3&gt;80),"Pass","Fail")</f>
        <v>Fail</v>
      </c>
      <c r="E3" s="4" t="str">
        <f t="shared" ref="E3:E7" si="1">IF(OR(B3&gt;80,C3&gt;80),"pass","fail")</f>
        <v>fail</v>
      </c>
      <c r="L3" t="s">
        <v>62</v>
      </c>
      <c r="P3" t="s">
        <v>63</v>
      </c>
    </row>
    <row r="4" spans="1:16" x14ac:dyDescent="0.3">
      <c r="A4" t="s">
        <v>31</v>
      </c>
      <c r="B4" s="4">
        <v>94</v>
      </c>
      <c r="C4" s="4">
        <v>90</v>
      </c>
      <c r="D4" s="4" t="str">
        <f t="shared" si="0"/>
        <v>Pass</v>
      </c>
      <c r="E4" s="4" t="str">
        <f t="shared" si="1"/>
        <v>pass</v>
      </c>
      <c r="J4">
        <v>1</v>
      </c>
      <c r="K4">
        <v>1</v>
      </c>
      <c r="L4" t="b">
        <f>AND(J4,K4)</f>
        <v>1</v>
      </c>
      <c r="N4">
        <v>1</v>
      </c>
      <c r="O4">
        <v>1</v>
      </c>
      <c r="P4" t="b">
        <f>OR(N4,O4)</f>
        <v>1</v>
      </c>
    </row>
    <row r="5" spans="1:16" x14ac:dyDescent="0.3">
      <c r="A5" t="s">
        <v>36</v>
      </c>
      <c r="B5" s="4">
        <v>73</v>
      </c>
      <c r="C5" s="4">
        <v>86</v>
      </c>
      <c r="D5" s="4" t="str">
        <f t="shared" si="0"/>
        <v>Fail</v>
      </c>
      <c r="E5" s="4" t="str">
        <f t="shared" si="1"/>
        <v>pass</v>
      </c>
      <c r="J5">
        <v>1</v>
      </c>
      <c r="K5">
        <v>0</v>
      </c>
      <c r="L5" t="b">
        <f t="shared" ref="L5:L7" si="2">AND(J5,K5)</f>
        <v>0</v>
      </c>
      <c r="N5">
        <v>1</v>
      </c>
      <c r="O5">
        <v>0</v>
      </c>
      <c r="P5" t="b">
        <f t="shared" ref="P5:P7" si="3">OR(N5,O5)</f>
        <v>1</v>
      </c>
    </row>
    <row r="6" spans="1:16" x14ac:dyDescent="0.3">
      <c r="A6" t="s">
        <v>35</v>
      </c>
      <c r="B6" s="4">
        <v>64</v>
      </c>
      <c r="C6" s="4">
        <v>98</v>
      </c>
      <c r="D6" s="4" t="str">
        <f t="shared" si="0"/>
        <v>Fail</v>
      </c>
      <c r="E6" s="4" t="str">
        <f t="shared" si="1"/>
        <v>pass</v>
      </c>
      <c r="J6">
        <v>0</v>
      </c>
      <c r="K6">
        <v>1</v>
      </c>
      <c r="L6" t="b">
        <f t="shared" si="2"/>
        <v>0</v>
      </c>
      <c r="N6">
        <v>0</v>
      </c>
      <c r="O6">
        <v>1</v>
      </c>
      <c r="P6" t="b">
        <f t="shared" si="3"/>
        <v>1</v>
      </c>
    </row>
    <row r="7" spans="1:16" x14ac:dyDescent="0.3">
      <c r="A7" t="s">
        <v>34</v>
      </c>
      <c r="B7" s="4">
        <v>83</v>
      </c>
      <c r="C7" s="4">
        <v>86</v>
      </c>
      <c r="D7" s="4" t="str">
        <f t="shared" si="0"/>
        <v>Pass</v>
      </c>
      <c r="E7" s="4" t="str">
        <f t="shared" si="1"/>
        <v>pass</v>
      </c>
      <c r="J7">
        <v>0</v>
      </c>
      <c r="K7">
        <v>0</v>
      </c>
      <c r="L7" t="b">
        <f t="shared" si="2"/>
        <v>0</v>
      </c>
      <c r="N7">
        <v>0</v>
      </c>
      <c r="O7">
        <v>0</v>
      </c>
      <c r="P7" t="b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6E61-A3AD-4195-8317-223FBFD6C8D0}">
  <dimension ref="A1:L18"/>
  <sheetViews>
    <sheetView tabSelected="1" workbookViewId="0">
      <selection activeCell="L10" sqref="L10"/>
    </sheetView>
  </sheetViews>
  <sheetFormatPr defaultRowHeight="14.4" x14ac:dyDescent="0.3"/>
  <cols>
    <col min="3" max="3" width="13.21875" customWidth="1"/>
    <col min="5" max="5" width="12.44140625" customWidth="1"/>
  </cols>
  <sheetData>
    <row r="1" spans="1:12" x14ac:dyDescent="0.3">
      <c r="A1" s="3" t="s">
        <v>27</v>
      </c>
      <c r="B1" s="3" t="s">
        <v>37</v>
      </c>
      <c r="C1" s="3" t="s">
        <v>56</v>
      </c>
      <c r="E1" s="13" t="s">
        <v>55</v>
      </c>
    </row>
    <row r="2" spans="1:12" x14ac:dyDescent="0.3">
      <c r="A2" t="s">
        <v>33</v>
      </c>
      <c r="B2">
        <v>88</v>
      </c>
      <c r="C2" s="4"/>
      <c r="E2" s="14">
        <f>LARGE($B$2:$B$7, 1)</f>
        <v>94</v>
      </c>
    </row>
    <row r="3" spans="1:12" x14ac:dyDescent="0.3">
      <c r="A3" t="s">
        <v>32</v>
      </c>
      <c r="B3">
        <v>61</v>
      </c>
      <c r="C3" s="4"/>
      <c r="E3" s="14">
        <f>LARGE($B$2:$B$7, 2)</f>
        <v>88</v>
      </c>
    </row>
    <row r="4" spans="1:12" x14ac:dyDescent="0.3">
      <c r="A4" t="s">
        <v>31</v>
      </c>
      <c r="B4">
        <v>94</v>
      </c>
      <c r="C4" s="4"/>
      <c r="E4" s="15">
        <f>LARGE($B$2:$B$7, 3)</f>
        <v>83</v>
      </c>
    </row>
    <row r="5" spans="1:12" x14ac:dyDescent="0.3">
      <c r="A5" t="s">
        <v>36</v>
      </c>
      <c r="B5">
        <v>73</v>
      </c>
      <c r="C5" s="4"/>
    </row>
    <row r="6" spans="1:12" x14ac:dyDescent="0.3">
      <c r="A6" t="s">
        <v>35</v>
      </c>
      <c r="B6">
        <v>64</v>
      </c>
      <c r="C6" s="4"/>
    </row>
    <row r="7" spans="1:12" x14ac:dyDescent="0.3">
      <c r="A7" t="s">
        <v>34</v>
      </c>
      <c r="B7">
        <v>83</v>
      </c>
      <c r="C7" s="4"/>
    </row>
    <row r="9" spans="1:12" x14ac:dyDescent="0.3">
      <c r="J9">
        <v>10</v>
      </c>
      <c r="K9">
        <v>5</v>
      </c>
      <c r="L9">
        <f>IFERROR(J9/K9,"Error")</f>
        <v>2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formula</vt:lpstr>
      <vt:lpstr>Value-if-false</vt:lpstr>
      <vt:lpstr>If negative number</vt:lpstr>
      <vt:lpstr>IF with text</vt:lpstr>
      <vt:lpstr>IF case-sensitive</vt:lpstr>
      <vt:lpstr>IF partial text</vt:lpstr>
      <vt:lpstr>IF with dates</vt:lpstr>
      <vt:lpstr>IF blank</vt:lpstr>
      <vt:lpstr>If two cells match</vt:lpstr>
      <vt:lpstr>Math operation</vt:lpstr>
      <vt:lpstr>Nested IFs </vt:lpstr>
      <vt:lpstr>Multiple conditions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Abhay Dhamal</cp:lastModifiedBy>
  <dcterms:created xsi:type="dcterms:W3CDTF">2014-11-18T14:15:37Z</dcterms:created>
  <dcterms:modified xsi:type="dcterms:W3CDTF">2026-09-02T13:29:25Z</dcterms:modified>
</cp:coreProperties>
</file>