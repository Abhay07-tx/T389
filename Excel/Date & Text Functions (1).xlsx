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05AD4602-5FF1-4781-9C70-384A78B1D7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xt Functions" sheetId="1" r:id="rId1"/>
    <sheet name="Date Function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I24" i="2"/>
  <c r="I23" i="2"/>
  <c r="I22" i="2"/>
  <c r="H22" i="2"/>
  <c r="D3" i="2"/>
  <c r="F8" i="2" s="1"/>
  <c r="K15" i="1"/>
  <c r="L15" i="1"/>
  <c r="H16" i="1"/>
  <c r="H17" i="1"/>
  <c r="H18" i="1"/>
  <c r="H19" i="1"/>
  <c r="H20" i="1"/>
  <c r="H21" i="1"/>
  <c r="H15" i="1"/>
  <c r="G16" i="1"/>
  <c r="G17" i="1"/>
  <c r="G18" i="1"/>
  <c r="G19" i="1"/>
  <c r="G20" i="1"/>
  <c r="G21" i="1"/>
  <c r="G15" i="1"/>
  <c r="F16" i="1"/>
  <c r="F17" i="1"/>
  <c r="F18" i="1"/>
  <c r="F19" i="1"/>
  <c r="F20" i="1"/>
  <c r="F21" i="1"/>
  <c r="F22" i="1"/>
  <c r="F23" i="1"/>
  <c r="F15" i="1"/>
  <c r="I15" i="1"/>
  <c r="B15" i="1"/>
  <c r="A16" i="1"/>
  <c r="A17" i="1"/>
  <c r="A18" i="1"/>
  <c r="A19" i="1"/>
  <c r="A20" i="1"/>
  <c r="A21" i="1"/>
  <c r="A22" i="1"/>
  <c r="A15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  <c r="J3" i="1"/>
  <c r="J4" i="1"/>
  <c r="J5" i="1"/>
  <c r="J6" i="1"/>
  <c r="J7" i="1"/>
  <c r="J8" i="1"/>
  <c r="J2" i="1"/>
  <c r="I8" i="1"/>
  <c r="I7" i="1"/>
  <c r="I6" i="1"/>
  <c r="I5" i="1"/>
  <c r="I4" i="1"/>
  <c r="I3" i="1"/>
  <c r="I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  <c r="F6" i="3"/>
  <c r="F7" i="3"/>
  <c r="F8" i="3"/>
  <c r="F5" i="3"/>
  <c r="E6" i="3"/>
  <c r="E7" i="3"/>
  <c r="E8" i="3"/>
  <c r="E5" i="3"/>
  <c r="D6" i="3"/>
  <c r="G6" i="3" s="1"/>
  <c r="D7" i="3"/>
  <c r="G7" i="3" s="1"/>
  <c r="D8" i="3"/>
  <c r="G8" i="3" s="1"/>
  <c r="D5" i="3"/>
  <c r="G5" i="3" s="1"/>
  <c r="D2" i="3"/>
  <c r="H5" i="3" s="1"/>
  <c r="D2" i="2"/>
  <c r="D5" i="2" s="1"/>
  <c r="J24" i="1"/>
  <c r="A27" i="1"/>
  <c r="D7" i="2" l="1"/>
  <c r="F10" i="2"/>
  <c r="F9" i="2"/>
  <c r="D6" i="2"/>
  <c r="H7" i="3"/>
  <c r="H6" i="3"/>
  <c r="H8" i="3"/>
  <c r="F12" i="2" l="1"/>
  <c r="D46" i="2" s="1"/>
  <c r="D44" i="2" l="1"/>
  <c r="D31" i="2"/>
  <c r="D35" i="2"/>
  <c r="D28" i="2"/>
  <c r="D27" i="2"/>
  <c r="F14" i="2"/>
  <c r="H26" i="2"/>
</calcChain>
</file>

<file path=xl/sharedStrings.xml><?xml version="1.0" encoding="utf-8"?>
<sst xmlns="http://schemas.openxmlformats.org/spreadsheetml/2006/main" count="88" uniqueCount="69">
  <si>
    <t>First Name</t>
  </si>
  <si>
    <t>Last Name</t>
  </si>
  <si>
    <t>Balance</t>
  </si>
  <si>
    <t>Upper</t>
  </si>
  <si>
    <t>Lower</t>
  </si>
  <si>
    <t>Proper</t>
  </si>
  <si>
    <t>Length</t>
  </si>
  <si>
    <t>Concatenate</t>
  </si>
  <si>
    <t>&amp;</t>
  </si>
  <si>
    <t>Dollar</t>
  </si>
  <si>
    <t>Exact</t>
  </si>
  <si>
    <t>Harry</t>
  </si>
  <si>
    <t>Potter</t>
  </si>
  <si>
    <t>Mike</t>
  </si>
  <si>
    <t>danny</t>
  </si>
  <si>
    <t>Bella</t>
  </si>
  <si>
    <t>Edward</t>
  </si>
  <si>
    <t>sMiTh</t>
  </si>
  <si>
    <t>Ginny</t>
  </si>
  <si>
    <t>abbababaa</t>
  </si>
  <si>
    <t>Find</t>
  </si>
  <si>
    <t>Left</t>
  </si>
  <si>
    <t>Right</t>
  </si>
  <si>
    <t>Middle</t>
  </si>
  <si>
    <t>Trim</t>
  </si>
  <si>
    <t>Rept</t>
  </si>
  <si>
    <t>AbbAbabaa</t>
  </si>
  <si>
    <t>Day</t>
  </si>
  <si>
    <t>Month</t>
  </si>
  <si>
    <t>Year</t>
  </si>
  <si>
    <t>Date Function</t>
  </si>
  <si>
    <t>Today+4</t>
  </si>
  <si>
    <t>First day of the current month</t>
  </si>
  <si>
    <t>First day of the previous month</t>
  </si>
  <si>
    <t>Last day of the current month</t>
  </si>
  <si>
    <t>Last day of the previous month</t>
  </si>
  <si>
    <t>No. of days between</t>
  </si>
  <si>
    <t>Years between</t>
  </si>
  <si>
    <t>Now</t>
  </si>
  <si>
    <t>Hour</t>
  </si>
  <si>
    <t>Minutes</t>
  </si>
  <si>
    <t>Seconds</t>
  </si>
  <si>
    <t>Weekdays</t>
  </si>
  <si>
    <t>Weeknum</t>
  </si>
  <si>
    <t>Workdays</t>
  </si>
  <si>
    <t>Holidays</t>
  </si>
  <si>
    <t>Republic day</t>
  </si>
  <si>
    <t>Ganesh Utsav</t>
  </si>
  <si>
    <t>Holiday1</t>
  </si>
  <si>
    <t>Workday.intl</t>
  </si>
  <si>
    <t>START DATE</t>
  </si>
  <si>
    <t>END DATE</t>
  </si>
  <si>
    <t>Networkdays</t>
  </si>
  <si>
    <t>with holidays</t>
  </si>
  <si>
    <t>Christmas</t>
  </si>
  <si>
    <t>Networkdaysintl</t>
  </si>
  <si>
    <t>New Year</t>
  </si>
  <si>
    <t>Independence day</t>
  </si>
  <si>
    <t>Find (Case Sensitive)</t>
  </si>
  <si>
    <t>Find position of space</t>
  </si>
  <si>
    <t>Get the first Name</t>
  </si>
  <si>
    <t>Search (Case Insentive)</t>
  </si>
  <si>
    <t>Replace (Position based replacement)</t>
  </si>
  <si>
    <t>Substitute (Char based replacment)</t>
  </si>
  <si>
    <t>Today's Date</t>
  </si>
  <si>
    <t>Today's Date &amp; Current Time</t>
  </si>
  <si>
    <t>Start Date</t>
  </si>
  <si>
    <t>Date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</si>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</sst>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/>
    <xf numFmtId="0" fontId="2" fillId="2" borderId="1" xfId="0" applyFont="1" applyFill="1" applyBorder="1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zoomScale="90" zoomScaleNormal="90" workbookViewId="0">
      <selection activeCell="K16" sqref="K16"/>
    </sheetView>
  </sheetViews>
  <sheetFormatPr defaultRowHeight="14.4" x14ac:dyDescent="0.3"/>
  <cols>
    <col min="1" max="1" width="14.5546875" bestFit="1" customWidth="1"/>
    <col min="2" max="2" width="14.33203125" bestFit="1" customWidth="1"/>
    <col min="3" max="3" width="11.33203125" bestFit="1" customWidth="1"/>
    <col min="4" max="4" width="30.44140625" customWidth="1"/>
    <col min="5" max="5" width="14.109375" customWidth="1"/>
    <col min="6" max="6" width="12.5546875" customWidth="1"/>
    <col min="7" max="7" width="14.33203125" bestFit="1" customWidth="1"/>
    <col min="8" max="8" width="16.5546875" customWidth="1"/>
    <col min="9" max="9" width="17.109375" bestFit="1" customWidth="1"/>
    <col min="10" max="11" width="16" customWidth="1"/>
    <col min="12" max="12" width="25.5546875" bestFit="1" customWidth="1"/>
    <col min="13" max="13" width="13.33203125" customWidth="1"/>
    <col min="17" max="17" width="10.88671875" customWidth="1"/>
    <col min="18" max="18" width="13.6640625" customWidth="1"/>
    <col min="19" max="19" width="14.109375" customWidth="1"/>
    <col min="20" max="20" width="17.6640625" customWidth="1"/>
  </cols>
  <sheetData>
    <row r="1" spans="1:13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/>
      <c r="L1" s="1" t="s">
        <v>9</v>
      </c>
      <c r="M1" s="1" t="s">
        <v>10</v>
      </c>
    </row>
    <row r="2" spans="1:13" x14ac:dyDescent="0.3">
      <c r="A2" s="2" t="s">
        <v>11</v>
      </c>
      <c r="B2" s="2" t="s">
        <v>12</v>
      </c>
      <c r="C2">
        <v>1000</v>
      </c>
      <c r="D2" t="str">
        <f>UPPER(A2)</f>
        <v>HARRY</v>
      </c>
      <c r="E2" t="str">
        <f>LOWER(A2)</f>
        <v>harry</v>
      </c>
      <c r="F2" t="str">
        <f>PROPER(A2)</f>
        <v>Harry</v>
      </c>
      <c r="G2">
        <f>LEN(A2)</f>
        <v>5</v>
      </c>
      <c r="I2" t="str">
        <f>_xlfn.CONCAT(A2,B2)</f>
        <v>HarryPotter</v>
      </c>
      <c r="J2" t="str">
        <f>A2&amp;""&amp;B2</f>
        <v>HarryPotter</v>
      </c>
      <c r="L2" t="str">
        <f>DOLLAR(C2)</f>
        <v>$1,000.00</v>
      </c>
      <c r="M2" t="b">
        <f>EXACT(A2,B2)</f>
        <v>0</v>
      </c>
    </row>
    <row r="3" spans="1:13" x14ac:dyDescent="0.3">
      <c r="A3" s="2" t="s">
        <v>13</v>
      </c>
      <c r="B3" s="2" t="s">
        <v>12</v>
      </c>
      <c r="C3">
        <v>500</v>
      </c>
      <c r="D3" t="str">
        <f t="shared" ref="D3:D8" si="0">UPPER(A3)</f>
        <v>MIKE</v>
      </c>
      <c r="E3" t="str">
        <f t="shared" ref="E3:E8" si="1">LOWER(A3)</f>
        <v>mike</v>
      </c>
      <c r="F3" t="str">
        <f t="shared" ref="F3:F8" si="2">PROPER(A3)</f>
        <v>Mike</v>
      </c>
      <c r="G3">
        <f t="shared" ref="G3:G8" si="3">LEN(A3)</f>
        <v>4</v>
      </c>
      <c r="I3" t="str">
        <f t="shared" ref="I3:I8" si="4">_xlfn.CONCAT(A3,B3)</f>
        <v>MikePotter</v>
      </c>
      <c r="J3" t="str">
        <f t="shared" ref="J3:J8" si="5">A3&amp;""&amp;B3</f>
        <v>MikePotter</v>
      </c>
      <c r="L3" t="str">
        <f t="shared" ref="L3:L8" si="6">DOLLAR(C3)</f>
        <v>$500.00</v>
      </c>
      <c r="M3" t="b">
        <f t="shared" ref="M3:M8" si="7">EXACT(A3,B3)</f>
        <v>0</v>
      </c>
    </row>
    <row r="4" spans="1:13" x14ac:dyDescent="0.3">
      <c r="A4" s="2" t="s">
        <v>14</v>
      </c>
      <c r="B4" s="2" t="s">
        <v>12</v>
      </c>
      <c r="C4">
        <v>350</v>
      </c>
      <c r="D4" t="str">
        <f t="shared" si="0"/>
        <v>DANNY</v>
      </c>
      <c r="E4" t="str">
        <f t="shared" si="1"/>
        <v>danny</v>
      </c>
      <c r="F4" t="str">
        <f t="shared" si="2"/>
        <v>Danny</v>
      </c>
      <c r="G4">
        <f t="shared" si="3"/>
        <v>5</v>
      </c>
      <c r="I4" t="str">
        <f t="shared" si="4"/>
        <v>dannyPotter</v>
      </c>
      <c r="J4" t="str">
        <f t="shared" si="5"/>
        <v>dannyPotter</v>
      </c>
      <c r="L4" t="str">
        <f t="shared" si="6"/>
        <v>$350.00</v>
      </c>
      <c r="M4" t="b">
        <f t="shared" si="7"/>
        <v>0</v>
      </c>
    </row>
    <row r="5" spans="1:13" x14ac:dyDescent="0.3">
      <c r="A5" s="2" t="s">
        <v>15</v>
      </c>
      <c r="B5" s="2" t="s">
        <v>12</v>
      </c>
      <c r="C5">
        <v>300</v>
      </c>
      <c r="D5" t="str">
        <f t="shared" si="0"/>
        <v>BELLA</v>
      </c>
      <c r="E5" t="str">
        <f t="shared" si="1"/>
        <v>bella</v>
      </c>
      <c r="F5" t="str">
        <f t="shared" si="2"/>
        <v>Bella</v>
      </c>
      <c r="G5">
        <f t="shared" si="3"/>
        <v>5</v>
      </c>
      <c r="I5" t="str">
        <f t="shared" si="4"/>
        <v>BellaPotter</v>
      </c>
      <c r="J5" t="str">
        <f t="shared" si="5"/>
        <v>BellaPotter</v>
      </c>
      <c r="L5" t="str">
        <f t="shared" si="6"/>
        <v>$300.00</v>
      </c>
      <c r="M5" t="b">
        <f t="shared" si="7"/>
        <v>0</v>
      </c>
    </row>
    <row r="6" spans="1:13" x14ac:dyDescent="0.3">
      <c r="A6" s="2" t="s">
        <v>16</v>
      </c>
      <c r="B6" s="2" t="s">
        <v>12</v>
      </c>
      <c r="C6">
        <v>0</v>
      </c>
      <c r="D6" t="str">
        <f t="shared" si="0"/>
        <v>EDWARD</v>
      </c>
      <c r="E6" t="str">
        <f t="shared" si="1"/>
        <v>edward</v>
      </c>
      <c r="F6" t="str">
        <f t="shared" si="2"/>
        <v>Edward</v>
      </c>
      <c r="G6">
        <f t="shared" si="3"/>
        <v>6</v>
      </c>
      <c r="I6" t="str">
        <f t="shared" si="4"/>
        <v>EdwardPotter</v>
      </c>
      <c r="J6" t="str">
        <f t="shared" si="5"/>
        <v>EdwardPotter</v>
      </c>
      <c r="L6" t="str">
        <f t="shared" si="6"/>
        <v>$0.00</v>
      </c>
      <c r="M6" t="b">
        <f t="shared" si="7"/>
        <v>0</v>
      </c>
    </row>
    <row r="7" spans="1:13" x14ac:dyDescent="0.3">
      <c r="A7" s="2" t="s">
        <v>17</v>
      </c>
      <c r="B7" s="2" t="s">
        <v>12</v>
      </c>
      <c r="C7">
        <v>100</v>
      </c>
      <c r="D7" t="str">
        <f t="shared" si="0"/>
        <v>SMITH</v>
      </c>
      <c r="E7" t="str">
        <f t="shared" si="1"/>
        <v>smith</v>
      </c>
      <c r="F7" t="str">
        <f t="shared" si="2"/>
        <v>Smith</v>
      </c>
      <c r="G7">
        <f t="shared" si="3"/>
        <v>5</v>
      </c>
      <c r="I7" t="str">
        <f t="shared" si="4"/>
        <v>sMiThPotter</v>
      </c>
      <c r="J7" t="str">
        <f t="shared" si="5"/>
        <v>sMiThPotter</v>
      </c>
      <c r="L7" t="str">
        <f t="shared" si="6"/>
        <v>$100.00</v>
      </c>
      <c r="M7" t="b">
        <f t="shared" si="7"/>
        <v>0</v>
      </c>
    </row>
    <row r="8" spans="1:13" x14ac:dyDescent="0.3">
      <c r="A8" s="2" t="s">
        <v>18</v>
      </c>
      <c r="B8" s="2" t="s">
        <v>12</v>
      </c>
      <c r="C8">
        <v>20</v>
      </c>
      <c r="D8" t="str">
        <f t="shared" si="0"/>
        <v>GINNY</v>
      </c>
      <c r="E8" t="str">
        <f t="shared" si="1"/>
        <v>ginny</v>
      </c>
      <c r="F8" t="str">
        <f t="shared" si="2"/>
        <v>Ginny</v>
      </c>
      <c r="G8">
        <f t="shared" si="3"/>
        <v>5</v>
      </c>
      <c r="I8" t="str">
        <f t="shared" si="4"/>
        <v>GinnyPotter</v>
      </c>
      <c r="J8" t="str">
        <f t="shared" si="5"/>
        <v>GinnyPotter</v>
      </c>
      <c r="L8" t="str">
        <f t="shared" si="6"/>
        <v>$20.00</v>
      </c>
      <c r="M8" t="b">
        <f t="shared" si="7"/>
        <v>0</v>
      </c>
    </row>
    <row r="9" spans="1:13" x14ac:dyDescent="0.3">
      <c r="A9" s="2" t="s">
        <v>19</v>
      </c>
      <c r="B9" s="2"/>
    </row>
    <row r="10" spans="1:13" x14ac:dyDescent="0.3">
      <c r="A10" s="2" t="s">
        <v>19</v>
      </c>
      <c r="B10" s="2"/>
    </row>
    <row r="14" spans="1:13" ht="52.2" x14ac:dyDescent="0.3">
      <c r="A14" s="6" t="s">
        <v>58</v>
      </c>
      <c r="B14" t="s">
        <v>20</v>
      </c>
      <c r="C14" s="1" t="s">
        <v>21</v>
      </c>
      <c r="D14" s="8" t="s">
        <v>59</v>
      </c>
      <c r="E14" s="8" t="s">
        <v>60</v>
      </c>
      <c r="F14" s="1" t="s">
        <v>22</v>
      </c>
      <c r="G14" s="1" t="s">
        <v>23</v>
      </c>
      <c r="H14" s="6" t="s">
        <v>62</v>
      </c>
      <c r="I14" s="9" t="s">
        <v>61</v>
      </c>
      <c r="J14" s="6" t="s">
        <v>63</v>
      </c>
      <c r="K14" s="1" t="s">
        <v>24</v>
      </c>
      <c r="L14" s="1" t="s">
        <v>25</v>
      </c>
    </row>
    <row r="15" spans="1:13" x14ac:dyDescent="0.3">
      <c r="A15">
        <f>FIND("H",A2)</f>
        <v>1</v>
      </c>
      <c r="B15">
        <f>FIND("a",A2)</f>
        <v>2</v>
      </c>
      <c r="F15" t="str">
        <f>RIGHT(J2,7)</f>
        <v>yPotter</v>
      </c>
      <c r="G15" t="str">
        <f>MID(J2,2,6)</f>
        <v>arryPo</v>
      </c>
      <c r="H15" s="7" t="str">
        <f>REPLACE(F2,1,5,"Abhay")</f>
        <v>Abhay</v>
      </c>
      <c r="I15" t="e">
        <f>SEARCH(A2,"a")</f>
        <v>#VALUE!</v>
      </c>
      <c r="K15" t="str">
        <f>TRIM(J2)</f>
        <v>HarryPotter</v>
      </c>
      <c r="L15" t="str">
        <f>REPT(F2,5)</f>
        <v>HarryHarryHarryHarryHarry</v>
      </c>
    </row>
    <row r="16" spans="1:13" x14ac:dyDescent="0.3">
      <c r="A16" t="e">
        <f t="shared" ref="A16:A22" si="8">FIND("H",A3)</f>
        <v>#VALUE!</v>
      </c>
      <c r="F16" t="str">
        <f t="shared" ref="F16:F23" si="9">RIGHT(J3,7)</f>
        <v>ePotter</v>
      </c>
      <c r="G16" t="str">
        <f t="shared" ref="G16:G21" si="10">MID(J3,2,6)</f>
        <v>ikePot</v>
      </c>
      <c r="H16" s="7" t="str">
        <f t="shared" ref="H16:H21" si="11">REPLACE(F3,1,5,"Abhay")</f>
        <v>Abhay</v>
      </c>
    </row>
    <row r="17" spans="1:10" x14ac:dyDescent="0.3">
      <c r="A17" t="e">
        <f t="shared" si="8"/>
        <v>#VALUE!</v>
      </c>
      <c r="F17" t="str">
        <f t="shared" si="9"/>
        <v>yPotter</v>
      </c>
      <c r="G17" t="str">
        <f t="shared" si="10"/>
        <v>annyPo</v>
      </c>
      <c r="H17" s="7" t="str">
        <f t="shared" si="11"/>
        <v>Abhay</v>
      </c>
    </row>
    <row r="18" spans="1:10" x14ac:dyDescent="0.3">
      <c r="A18" t="e">
        <f t="shared" si="8"/>
        <v>#VALUE!</v>
      </c>
      <c r="F18" t="str">
        <f t="shared" si="9"/>
        <v>aPotter</v>
      </c>
      <c r="G18" t="str">
        <f t="shared" si="10"/>
        <v>ellaPo</v>
      </c>
      <c r="H18" s="7" t="str">
        <f t="shared" si="11"/>
        <v>Abhay</v>
      </c>
    </row>
    <row r="19" spans="1:10" x14ac:dyDescent="0.3">
      <c r="A19" t="e">
        <f t="shared" si="8"/>
        <v>#VALUE!</v>
      </c>
      <c r="F19" t="str">
        <f t="shared" si="9"/>
        <v>dPotter</v>
      </c>
      <c r="G19" t="str">
        <f t="shared" si="10"/>
        <v>dwardP</v>
      </c>
      <c r="H19" s="7" t="str">
        <f t="shared" si="11"/>
        <v>Abhayd</v>
      </c>
    </row>
    <row r="20" spans="1:10" x14ac:dyDescent="0.3">
      <c r="A20" t="e">
        <f t="shared" si="8"/>
        <v>#VALUE!</v>
      </c>
      <c r="F20" t="str">
        <f t="shared" si="9"/>
        <v>hPotter</v>
      </c>
      <c r="G20" t="str">
        <f t="shared" si="10"/>
        <v>MiThPo</v>
      </c>
      <c r="H20" s="7" t="str">
        <f t="shared" si="11"/>
        <v>Abhay</v>
      </c>
    </row>
    <row r="21" spans="1:10" x14ac:dyDescent="0.3">
      <c r="A21" t="e">
        <f t="shared" si="8"/>
        <v>#VALUE!</v>
      </c>
      <c r="F21" t="str">
        <f t="shared" si="9"/>
        <v>yPotter</v>
      </c>
      <c r="G21" t="str">
        <f t="shared" si="10"/>
        <v>innyPo</v>
      </c>
      <c r="H21" s="7" t="str">
        <f t="shared" si="11"/>
        <v>Abhay</v>
      </c>
    </row>
    <row r="22" spans="1:10" x14ac:dyDescent="0.3">
      <c r="A22" t="e">
        <f t="shared" si="8"/>
        <v>#VALUE!</v>
      </c>
      <c r="F22" t="str">
        <f t="shared" si="9"/>
        <v/>
      </c>
    </row>
    <row r="23" spans="1:10" x14ac:dyDescent="0.3">
      <c r="F23" t="str">
        <f t="shared" si="9"/>
        <v/>
      </c>
    </row>
    <row r="24" spans="1:10" x14ac:dyDescent="0.3">
      <c r="J24" t="str">
        <f t="shared" ref="J24" si="12">SUBSTITUTE(H11,"a","@")</f>
        <v/>
      </c>
    </row>
    <row r="27" spans="1:10" x14ac:dyDescent="0.3">
      <c r="A27">
        <f t="shared" ref="A27" si="13">FIND("a",A14)</f>
        <v>8</v>
      </c>
    </row>
    <row r="28" spans="1:10" x14ac:dyDescent="0.3">
      <c r="A28" s="2" t="s">
        <v>13</v>
      </c>
    </row>
    <row r="29" spans="1:10" x14ac:dyDescent="0.3">
      <c r="A29" s="2" t="s">
        <v>14</v>
      </c>
    </row>
    <row r="30" spans="1:10" x14ac:dyDescent="0.3">
      <c r="A30" s="2" t="s">
        <v>15</v>
      </c>
    </row>
    <row r="31" spans="1:10" x14ac:dyDescent="0.3">
      <c r="A31" s="2" t="s">
        <v>16</v>
      </c>
    </row>
    <row r="32" spans="1:10" x14ac:dyDescent="0.3">
      <c r="A32" s="2" t="s">
        <v>17</v>
      </c>
    </row>
    <row r="33" spans="1:1" x14ac:dyDescent="0.3">
      <c r="A33" s="2" t="s">
        <v>18</v>
      </c>
    </row>
    <row r="34" spans="1:1" x14ac:dyDescent="0.3">
      <c r="A34" s="2" t="s">
        <v>19</v>
      </c>
    </row>
    <row r="35" spans="1:1" x14ac:dyDescent="0.3">
      <c r="A35" s="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47"/>
  <sheetViews>
    <sheetView topLeftCell="A21" zoomScaleNormal="100" workbookViewId="0">
      <selection activeCell="F42" sqref="F42"/>
    </sheetView>
  </sheetViews>
  <sheetFormatPr defaultRowHeight="14.4" x14ac:dyDescent="0.3"/>
  <cols>
    <col min="3" max="3" width="44.33203125" customWidth="1"/>
    <col min="4" max="4" width="45.109375" customWidth="1"/>
    <col min="6" max="6" width="39" customWidth="1"/>
    <col min="7" max="7" width="12.109375" bestFit="1" customWidth="1"/>
    <col min="8" max="8" width="10.5546875" bestFit="1" customWidth="1"/>
  </cols>
  <sheetData>
    <row r="2" spans="3:6" x14ac:dyDescent="0.3">
      <c r="C2" s="3" t="s">
        <v>64</v>
      </c>
      <c r="D2" s="4">
        <f ca="1">TODAY()</f>
        <v>46289</v>
      </c>
    </row>
    <row r="3" spans="3:6" x14ac:dyDescent="0.3">
      <c r="C3" s="3" t="s">
        <v>65</v>
      </c>
      <c r="D3" s="10">
        <f ca="1">NOW()</f>
        <v>46289.748707175924</v>
      </c>
    </row>
    <row r="4" spans="3:6" hidden="1" x14ac:dyDescent="0.3">
      <c r="C4" s="3" t="s">
        <v>27</v>
      </c>
    </row>
    <row r="5" spans="3:6" x14ac:dyDescent="0.3">
      <c r="C5" s="3" t="s">
        <v>28</v>
      </c>
      <c r="D5">
        <f ca="1">MONTH(D2)</f>
        <v>9</v>
      </c>
    </row>
    <row r="6" spans="3:6" x14ac:dyDescent="0.3">
      <c r="C6" s="3" t="s">
        <v>29</v>
      </c>
      <c r="D6">
        <f ca="1">YEAR(D2)</f>
        <v>2026</v>
      </c>
    </row>
    <row r="7" spans="3:6" x14ac:dyDescent="0.3">
      <c r="C7" s="3"/>
      <c r="D7">
        <f ca="1">DAY(D2)</f>
        <v>24</v>
      </c>
    </row>
    <row r="8" spans="3:6" x14ac:dyDescent="0.3">
      <c r="C8" s="3"/>
      <c r="F8">
        <f ca="1">HOUR(D3)</f>
        <v>17</v>
      </c>
    </row>
    <row r="9" spans="3:6" x14ac:dyDescent="0.3">
      <c r="C9" s="3" t="s">
        <v>30</v>
      </c>
      <c r="F9">
        <f ca="1">MINUTE(D3)</f>
        <v>58</v>
      </c>
    </row>
    <row r="10" spans="3:6" x14ac:dyDescent="0.3">
      <c r="C10" s="3" t="s">
        <v>31</v>
      </c>
      <c r="F10">
        <f ca="1">SECOND(D3)</f>
        <v>8</v>
      </c>
    </row>
    <row r="11" spans="3:6" x14ac:dyDescent="0.3">
      <c r="C11" s="3"/>
    </row>
    <row r="12" spans="3:6" x14ac:dyDescent="0.3">
      <c r="F12" s="4">
        <f ca="1">DATE(D6,D5,D7)</f>
        <v>46289</v>
      </c>
    </row>
    <row r="13" spans="3:6" x14ac:dyDescent="0.3">
      <c r="C13" s="3" t="s">
        <v>32</v>
      </c>
    </row>
    <row r="14" spans="3:6" x14ac:dyDescent="0.3">
      <c r="C14" s="3" t="s">
        <v>33</v>
      </c>
      <c r="F14" s="4">
        <f ca="1">EOMONTH(F12,-8)</f>
        <v>46053</v>
      </c>
    </row>
    <row r="15" spans="3:6" x14ac:dyDescent="0.3">
      <c r="C15" s="3"/>
    </row>
    <row r="16" spans="3:6" x14ac:dyDescent="0.3">
      <c r="C16" s="3" t="s">
        <v>34</v>
      </c>
    </row>
    <row r="17" spans="3:9" x14ac:dyDescent="0.3">
      <c r="C17" s="3" t="s">
        <v>35</v>
      </c>
    </row>
    <row r="19" spans="3:9" x14ac:dyDescent="0.3">
      <c r="C19" s="3" t="s">
        <v>36</v>
      </c>
    </row>
    <row r="20" spans="3:9" x14ac:dyDescent="0.3">
      <c r="C20" s="3" t="s">
        <v>37</v>
      </c>
    </row>
    <row r="21" spans="3:9" x14ac:dyDescent="0.3">
      <c r="H21" t="s">
        <v>68</v>
      </c>
    </row>
    <row r="22" spans="3:9" x14ac:dyDescent="0.3">
      <c r="C22" s="3" t="s">
        <v>38</v>
      </c>
      <c r="H22" s="4">
        <f>DATE(2004,5,18)</f>
        <v>38125</v>
      </c>
      <c r="I22">
        <f ca="1">DATEDIF(H22,TODAY(),"Y")</f>
        <v>22</v>
      </c>
    </row>
    <row r="23" spans="3:9" x14ac:dyDescent="0.3">
      <c r="C23" s="3" t="s">
        <v>39</v>
      </c>
      <c r="I23">
        <f ca="1">DATEDIF(H22,TODAY(),"D")</f>
        <v>8164</v>
      </c>
    </row>
    <row r="24" spans="3:9" x14ac:dyDescent="0.3">
      <c r="C24" s="3" t="s">
        <v>40</v>
      </c>
      <c r="I24">
        <f ca="1">DATEDIF(H22,TODAY(),"M")</f>
        <v>268</v>
      </c>
    </row>
    <row r="25" spans="3:9" x14ac:dyDescent="0.3">
      <c r="C25" s="3" t="s">
        <v>41</v>
      </c>
      <c r="H25" s="4">
        <f>EDATE(H22,5)</f>
        <v>38278</v>
      </c>
    </row>
    <row r="26" spans="3:9" x14ac:dyDescent="0.3">
      <c r="H26">
        <f ca="1">YEARFRAC(H22,F12,1)</f>
        <v>22.35114867277705</v>
      </c>
    </row>
    <row r="27" spans="3:9" x14ac:dyDescent="0.3">
      <c r="C27" s="3" t="s">
        <v>42</v>
      </c>
      <c r="D27">
        <f ca="1">WEEKDAY(F12,1)</f>
        <v>5</v>
      </c>
    </row>
    <row r="28" spans="3:9" x14ac:dyDescent="0.3">
      <c r="C28" s="3" t="s">
        <v>43</v>
      </c>
      <c r="D28">
        <f ca="1">WEEKNUM(F12,1)</f>
        <v>39</v>
      </c>
    </row>
    <row r="29" spans="3:9" x14ac:dyDescent="0.3">
      <c r="C29" s="3"/>
    </row>
    <row r="31" spans="3:9" x14ac:dyDescent="0.3">
      <c r="C31" s="3" t="s">
        <v>44</v>
      </c>
      <c r="D31" s="4">
        <f ca="1">WORKDAY(F12,5)</f>
        <v>46296</v>
      </c>
      <c r="G31" s="2" t="s">
        <v>45</v>
      </c>
    </row>
    <row r="32" spans="3:9" x14ac:dyDescent="0.3">
      <c r="G32" t="s">
        <v>46</v>
      </c>
      <c r="H32" s="4">
        <v>44952</v>
      </c>
    </row>
    <row r="33" spans="3:8" x14ac:dyDescent="0.3">
      <c r="G33" t="s">
        <v>47</v>
      </c>
      <c r="H33" s="4">
        <v>45188</v>
      </c>
    </row>
    <row r="34" spans="3:8" x14ac:dyDescent="0.3">
      <c r="G34" t="s">
        <v>48</v>
      </c>
      <c r="H34" s="4">
        <v>45180</v>
      </c>
    </row>
    <row r="35" spans="3:8" x14ac:dyDescent="0.3">
      <c r="C35" s="3" t="s">
        <v>49</v>
      </c>
      <c r="D35" s="4">
        <f ca="1">WORKDAY.INTL(F12,5,1)</f>
        <v>46296</v>
      </c>
    </row>
    <row r="39" spans="3:8" x14ac:dyDescent="0.3">
      <c r="C39" s="5" t="s">
        <v>50</v>
      </c>
      <c r="D39" s="4">
        <v>42005</v>
      </c>
    </row>
    <row r="40" spans="3:8" x14ac:dyDescent="0.3">
      <c r="C40" s="5" t="s">
        <v>51</v>
      </c>
      <c r="D40" s="4">
        <v>42339</v>
      </c>
    </row>
    <row r="41" spans="3:8" x14ac:dyDescent="0.3">
      <c r="C41" s="3"/>
    </row>
    <row r="42" spans="3:8" x14ac:dyDescent="0.3">
      <c r="C42" s="3"/>
    </row>
    <row r="43" spans="3:8" x14ac:dyDescent="0.3">
      <c r="C43" s="3"/>
    </row>
    <row r="44" spans="3:8" x14ac:dyDescent="0.3">
      <c r="C44" s="3" t="s">
        <v>52</v>
      </c>
      <c r="D44">
        <f ca="1">NETWORKDAYS(D39,D40,F12)</f>
        <v>239</v>
      </c>
      <c r="G44" s="2" t="s">
        <v>45</v>
      </c>
    </row>
    <row r="45" spans="3:8" x14ac:dyDescent="0.3">
      <c r="C45" s="3" t="s">
        <v>53</v>
      </c>
      <c r="G45" t="s">
        <v>54</v>
      </c>
      <c r="H45" s="4">
        <v>42363</v>
      </c>
    </row>
    <row r="46" spans="3:8" x14ac:dyDescent="0.3">
      <c r="C46" s="3" t="s">
        <v>55</v>
      </c>
      <c r="D46">
        <f ca="1">NETWORKDAYS.INTL(D39,D40,11,F12)</f>
        <v>287</v>
      </c>
      <c r="G46" t="s">
        <v>56</v>
      </c>
      <c r="H46" s="4">
        <v>42005</v>
      </c>
    </row>
    <row r="47" spans="3:8" x14ac:dyDescent="0.3">
      <c r="G47" t="s">
        <v>57</v>
      </c>
      <c r="H47" s="4">
        <v>42231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H8"/>
  <sheetViews>
    <sheetView tabSelected="1" zoomScale="172" zoomScaleNormal="172" workbookViewId="0">
      <selection activeCell="G4" sqref="G4"/>
    </sheetView>
  </sheetViews>
  <sheetFormatPr defaultRowHeight="14.4" x14ac:dyDescent="0.3"/>
  <cols>
    <col min="3" max="3" width="17.5546875" customWidth="1"/>
    <col min="4" max="4" width="9.5546875" bestFit="1" customWidth="1"/>
    <col min="7" max="7" width="10.109375" bestFit="1" customWidth="1"/>
  </cols>
  <sheetData>
    <row r="2" spans="3:8" x14ac:dyDescent="0.3">
      <c r="C2" t="s">
        <v>64</v>
      </c>
      <c r="D2" s="4">
        <f ca="1">TODAY()</f>
        <v>46289</v>
      </c>
    </row>
    <row r="4" spans="3:8" x14ac:dyDescent="0.3">
      <c r="C4" t="s">
        <v>66</v>
      </c>
      <c r="D4" t="s">
        <v>29</v>
      </c>
      <c r="E4" t="s">
        <v>28</v>
      </c>
      <c r="F4" t="s">
        <v>27</v>
      </c>
      <c r="G4" t="s">
        <v>67</v>
      </c>
    </row>
    <row r="5" spans="3:8" x14ac:dyDescent="0.3">
      <c r="C5" s="4">
        <v>38961</v>
      </c>
      <c r="D5">
        <f>YEAR(C5)</f>
        <v>2006</v>
      </c>
      <c r="E5">
        <f>MONTH(C5)</f>
        <v>9</v>
      </c>
      <c r="F5">
        <f>DAY(C5)</f>
        <v>1</v>
      </c>
      <c r="G5" s="4">
        <f>DATE(D5,E5,F5)</f>
        <v>38961</v>
      </c>
      <c r="H5">
        <f ca="1">$D$2-C5</f>
        <v>7328</v>
      </c>
    </row>
    <row r="6" spans="3:8" x14ac:dyDescent="0.3">
      <c r="C6" s="4">
        <v>40148</v>
      </c>
      <c r="D6">
        <f t="shared" ref="D6:D8" si="0">YEAR(C6)</f>
        <v>2009</v>
      </c>
      <c r="E6">
        <f t="shared" ref="E6:E8" si="1">MONTH(C6)</f>
        <v>12</v>
      </c>
      <c r="F6">
        <f t="shared" ref="F6:F8" si="2">DAY(C6)</f>
        <v>1</v>
      </c>
      <c r="G6" s="4">
        <f t="shared" ref="G6:G8" si="3">DATE(D6,E6,F6)</f>
        <v>40148</v>
      </c>
      <c r="H6">
        <f ca="1">$D$2-C6</f>
        <v>6141</v>
      </c>
    </row>
    <row r="7" spans="3:8" x14ac:dyDescent="0.3">
      <c r="C7" s="4">
        <v>42050</v>
      </c>
      <c r="D7">
        <f t="shared" si="0"/>
        <v>2015</v>
      </c>
      <c r="E7">
        <f t="shared" si="1"/>
        <v>2</v>
      </c>
      <c r="F7">
        <f t="shared" si="2"/>
        <v>15</v>
      </c>
      <c r="G7" s="4">
        <f t="shared" si="3"/>
        <v>42050</v>
      </c>
      <c r="H7">
        <f ca="1">$D$2-C7</f>
        <v>4239</v>
      </c>
    </row>
    <row r="8" spans="3:8" x14ac:dyDescent="0.3">
      <c r="C8" s="4">
        <v>45474</v>
      </c>
      <c r="D8">
        <f t="shared" si="0"/>
        <v>2024</v>
      </c>
      <c r="E8">
        <f t="shared" si="1"/>
        <v>7</v>
      </c>
      <c r="F8">
        <f t="shared" si="2"/>
        <v>1</v>
      </c>
      <c r="G8" s="4">
        <f t="shared" si="3"/>
        <v>45474</v>
      </c>
      <c r="H8">
        <f t="shared" ref="H8" ca="1" si="4">$D$2-C8</f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Functions</vt:lpstr>
      <vt:lpstr>Date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Abhay Dhamal</cp:lastModifiedBy>
  <dcterms:created xsi:type="dcterms:W3CDTF">2015-06-05T18:17:20Z</dcterms:created>
  <dcterms:modified xsi:type="dcterms:W3CDTF">2026-09-24T12:28:25Z</dcterms:modified>
</cp:coreProperties>
</file>