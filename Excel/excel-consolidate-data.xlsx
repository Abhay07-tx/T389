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T389\Excel\"/>
    </mc:Choice>
  </mc:AlternateContent>
  <xr:revisionPtr revIDLastSave="0" documentId="13_ncr:1_{5E97BAAE-2CE3-4405-BC0C-7F4BE476BE8A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Consolidate rows" sheetId="1" r:id="rId1"/>
    <sheet name="Consolidate columns" sheetId="2" r:id="rId2"/>
    <sheet name="Report 1" sheetId="3" r:id="rId3"/>
    <sheet name="Report 2" sheetId="4" r:id="rId4"/>
    <sheet name="Report 3" sheetId="5" r:id="rId5"/>
    <sheet name="staic report" sheetId="6" r:id="rId6"/>
    <sheet name="Dynami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IjkvgmQlpnEpWNt5lwlPTrC5S1STQjqoJPq6NGlglog="/>
    </ext>
  </extLst>
</workbook>
</file>

<file path=xl/calcChain.xml><?xml version="1.0" encoding="utf-8"?>
<calcChain xmlns="http://schemas.openxmlformats.org/spreadsheetml/2006/main">
  <c r="D5" i="7" l="1"/>
  <c r="E5" i="7"/>
  <c r="F5" i="7"/>
  <c r="F8" i="7" s="1"/>
  <c r="D6" i="7"/>
  <c r="D8" i="7" s="1"/>
  <c r="E6" i="7"/>
  <c r="E8" i="7" s="1"/>
  <c r="F6" i="7"/>
  <c r="D7" i="7"/>
  <c r="E7" i="7"/>
  <c r="F7" i="7"/>
  <c r="D9" i="7"/>
  <c r="E9" i="7"/>
  <c r="F9" i="7"/>
  <c r="D10" i="7"/>
  <c r="D12" i="7" s="1"/>
  <c r="E10" i="7"/>
  <c r="F10" i="7"/>
  <c r="D11" i="7"/>
  <c r="E11" i="7"/>
  <c r="F11" i="7"/>
  <c r="E12" i="7"/>
  <c r="F12" i="7"/>
  <c r="D13" i="7"/>
  <c r="F13" i="7"/>
  <c r="D14" i="7"/>
  <c r="F14" i="7"/>
  <c r="F16" i="7" s="1"/>
  <c r="D15" i="7"/>
  <c r="E15" i="7"/>
  <c r="E16" i="7" s="1"/>
  <c r="F15" i="7"/>
  <c r="D16" i="7"/>
  <c r="D17" i="7"/>
  <c r="E17" i="7"/>
  <c r="F17" i="7"/>
  <c r="D18" i="7"/>
  <c r="D20" i="7" s="1"/>
  <c r="E18" i="7"/>
  <c r="E20" i="7" s="1"/>
  <c r="D19" i="7"/>
  <c r="E19" i="7"/>
  <c r="F19" i="7"/>
  <c r="F20" i="7"/>
  <c r="D21" i="7"/>
  <c r="E21" i="7"/>
  <c r="F21" i="7"/>
  <c r="F24" i="7" s="1"/>
  <c r="D22" i="7"/>
  <c r="E22" i="7"/>
  <c r="F22" i="7"/>
  <c r="D23" i="7"/>
  <c r="E23" i="7"/>
  <c r="F23" i="7"/>
  <c r="D24" i="7"/>
  <c r="E24" i="7"/>
  <c r="D25" i="7"/>
  <c r="E25" i="7"/>
  <c r="E28" i="7" s="1"/>
  <c r="F25" i="7"/>
  <c r="D26" i="7"/>
  <c r="D28" i="7" s="1"/>
  <c r="E26" i="7"/>
  <c r="F26" i="7"/>
  <c r="F28" i="7" s="1"/>
  <c r="D27" i="7"/>
  <c r="E27" i="7"/>
  <c r="F27" i="7"/>
  <c r="D29" i="7"/>
  <c r="E29" i="7"/>
  <c r="F29" i="7"/>
  <c r="F32" i="7" s="1"/>
  <c r="D30" i="7"/>
  <c r="E30" i="7"/>
  <c r="F30" i="7"/>
  <c r="D31" i="7"/>
  <c r="E31" i="7"/>
  <c r="F31" i="7"/>
  <c r="D32" i="7"/>
  <c r="E32" i="7"/>
  <c r="D33" i="7"/>
  <c r="E33" i="7"/>
  <c r="E36" i="7" s="1"/>
  <c r="F33" i="7"/>
  <c r="D34" i="7"/>
  <c r="D36" i="7" s="1"/>
  <c r="E34" i="7"/>
  <c r="F34" i="7"/>
  <c r="F36" i="7" s="1"/>
  <c r="D35" i="7"/>
  <c r="E35" i="7"/>
  <c r="F35" i="7"/>
  <c r="D37" i="7"/>
  <c r="E37" i="7"/>
  <c r="F37" i="7"/>
  <c r="F40" i="7" s="1"/>
  <c r="D38" i="7"/>
  <c r="E38" i="7"/>
  <c r="F38" i="7"/>
  <c r="D39" i="7"/>
  <c r="E39" i="7"/>
  <c r="F39" i="7"/>
  <c r="D40" i="7"/>
  <c r="E40" i="7"/>
  <c r="D41" i="7"/>
  <c r="F41" i="7"/>
  <c r="F44" i="7" s="1"/>
  <c r="D42" i="7"/>
  <c r="D44" i="7" s="1"/>
  <c r="E42" i="7"/>
  <c r="E44" i="7" s="1"/>
  <c r="F42" i="7"/>
  <c r="D43" i="7"/>
  <c r="E43" i="7"/>
  <c r="F43" i="7"/>
  <c r="D45" i="7"/>
  <c r="E45" i="7"/>
  <c r="F45" i="7"/>
  <c r="D46" i="7"/>
  <c r="D48" i="7" s="1"/>
  <c r="E46" i="7"/>
  <c r="F46" i="7"/>
  <c r="D47" i="7"/>
  <c r="E47" i="7"/>
  <c r="F47" i="7"/>
  <c r="E48" i="7"/>
  <c r="F48" i="7"/>
  <c r="D49" i="7"/>
  <c r="D52" i="7" s="1"/>
  <c r="E49" i="7"/>
  <c r="F49" i="7"/>
  <c r="F52" i="7" s="1"/>
  <c r="D50" i="7"/>
  <c r="E50" i="7"/>
  <c r="E52" i="7" s="1"/>
  <c r="F50" i="7"/>
  <c r="D51" i="7"/>
  <c r="E51" i="7"/>
  <c r="F51" i="7"/>
  <c r="D53" i="7"/>
  <c r="E53" i="7"/>
  <c r="F53" i="7"/>
  <c r="D54" i="7"/>
  <c r="D56" i="7" s="1"/>
  <c r="E54" i="7"/>
  <c r="F54" i="7"/>
  <c r="D55" i="7"/>
  <c r="E55" i="7"/>
  <c r="F55" i="7"/>
  <c r="E56" i="7"/>
  <c r="F56" i="7"/>
  <c r="D57" i="7"/>
  <c r="D60" i="7" s="1"/>
  <c r="E57" i="7"/>
  <c r="F57" i="7"/>
  <c r="F60" i="7" s="1"/>
  <c r="D58" i="7"/>
  <c r="E58" i="7"/>
  <c r="E60" i="7" s="1"/>
  <c r="F58" i="7"/>
  <c r="D59" i="7"/>
  <c r="E59" i="7"/>
  <c r="F59" i="7"/>
  <c r="D61" i="7"/>
  <c r="E61" i="7"/>
  <c r="F61" i="7"/>
  <c r="D62" i="7"/>
  <c r="D64" i="7" s="1"/>
  <c r="E62" i="7"/>
  <c r="F62" i="7"/>
  <c r="D63" i="7"/>
  <c r="E63" i="7"/>
  <c r="F63" i="7"/>
  <c r="E64" i="7"/>
  <c r="F64" i="7"/>
  <c r="D65" i="7"/>
  <c r="E65" i="7"/>
  <c r="F65" i="7"/>
  <c r="D66" i="7"/>
  <c r="E66" i="7"/>
  <c r="E68" i="7" s="1"/>
  <c r="F66" i="7"/>
  <c r="F68" i="7" s="1"/>
  <c r="E67" i="7"/>
  <c r="F67" i="7"/>
  <c r="D68" i="7"/>
  <c r="D69" i="7"/>
  <c r="E69" i="7"/>
  <c r="E72" i="7" s="1"/>
  <c r="D70" i="7"/>
  <c r="D72" i="7" s="1"/>
  <c r="E70" i="7"/>
  <c r="F70" i="7"/>
  <c r="F72" i="7" s="1"/>
  <c r="D71" i="7"/>
  <c r="F71" i="7"/>
  <c r="D73" i="7"/>
  <c r="E73" i="7"/>
  <c r="F73" i="7"/>
  <c r="F76" i="7" s="1"/>
  <c r="D74" i="7"/>
  <c r="E74" i="7"/>
  <c r="F74" i="7"/>
  <c r="D75" i="7"/>
  <c r="E75" i="7"/>
  <c r="F75" i="7"/>
  <c r="D76" i="7"/>
  <c r="E76" i="7"/>
  <c r="D77" i="7"/>
  <c r="E77" i="7"/>
  <c r="E80" i="7" s="1"/>
  <c r="F77" i="7"/>
  <c r="D78" i="7"/>
  <c r="D80" i="7" s="1"/>
  <c r="E78" i="7"/>
  <c r="F78" i="7"/>
  <c r="F80" i="7" s="1"/>
  <c r="D79" i="7"/>
  <c r="E79" i="7"/>
  <c r="F79" i="7"/>
  <c r="D81" i="7"/>
  <c r="E81" i="7"/>
  <c r="F81" i="7"/>
  <c r="F84" i="7" s="1"/>
  <c r="D82" i="7"/>
  <c r="E82" i="7"/>
  <c r="F82" i="7"/>
  <c r="D83" i="7"/>
  <c r="E83" i="7"/>
  <c r="F83" i="7"/>
  <c r="D84" i="7"/>
  <c r="E84" i="7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3" i="2"/>
</calcChain>
</file>

<file path=xl/sharedStrings.xml><?xml version="1.0" encoding="utf-8"?>
<sst xmlns="http://schemas.openxmlformats.org/spreadsheetml/2006/main" count="233" uniqueCount="49">
  <si>
    <t>Consolidate rows in Excel with formulas</t>
  </si>
  <si>
    <t>Item</t>
  </si>
  <si>
    <t>Consolidate columns in Excel with formulas</t>
  </si>
  <si>
    <t>Jan</t>
  </si>
  <si>
    <t>Feb</t>
  </si>
  <si>
    <t>Mar</t>
  </si>
  <si>
    <t>Date</t>
  </si>
  <si>
    <t>Department</t>
  </si>
  <si>
    <t>Biscuits</t>
  </si>
  <si>
    <t>Waffles</t>
  </si>
  <si>
    <t>Total</t>
  </si>
  <si>
    <t>Amount</t>
  </si>
  <si>
    <t>Average</t>
  </si>
  <si>
    <t>Brownies</t>
  </si>
  <si>
    <t>Cakes</t>
  </si>
  <si>
    <t>Candy Bars</t>
  </si>
  <si>
    <t>Cheesecake</t>
  </si>
  <si>
    <t>Chocolate</t>
  </si>
  <si>
    <t>Cookies</t>
  </si>
  <si>
    <t>Croissants</t>
  </si>
  <si>
    <t>Tarts</t>
  </si>
  <si>
    <t>Cupcakes</t>
  </si>
  <si>
    <t>Donuts</t>
  </si>
  <si>
    <t>Sweets</t>
  </si>
  <si>
    <t>Fudge</t>
  </si>
  <si>
    <t>Pies</t>
  </si>
  <si>
    <t>Ice-cream</t>
  </si>
  <si>
    <t>Pastries</t>
  </si>
  <si>
    <t>Macarons</t>
  </si>
  <si>
    <t>Pancakes</t>
  </si>
  <si>
    <t>Muffins</t>
  </si>
  <si>
    <t>Administration</t>
  </si>
  <si>
    <t>Sales</t>
  </si>
  <si>
    <t>Customer Support</t>
  </si>
  <si>
    <t>Marketing</t>
  </si>
  <si>
    <t>Support</t>
  </si>
  <si>
    <t>Finance</t>
  </si>
  <si>
    <t>Human Resources</t>
  </si>
  <si>
    <t>Information Technology</t>
  </si>
  <si>
    <t>Legal</t>
  </si>
  <si>
    <t xml:space="preserve"> </t>
  </si>
  <si>
    <t>Logistics</t>
  </si>
  <si>
    <t>Operations</t>
  </si>
  <si>
    <t>Procurement</t>
  </si>
  <si>
    <t>Product Management</t>
  </si>
  <si>
    <t>Quality Assurance</t>
  </si>
  <si>
    <t>Research and Development</t>
  </si>
  <si>
    <t>Training and Development</t>
  </si>
  <si>
    <t>Excel-Consolidate-Data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</si>
</sst>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6">
    <font>
      <sz val="11"/>
      <color theme="1"/>
      <name val="Aptos Narrow"/>
      <scheme val="minor"/>
    </font>
    <font>
      <b/>
      <sz val="11"/>
      <color theme="1"/>
      <name val="Calibri"/>
    </font>
    <font>
      <b/>
      <sz val="14"/>
      <color theme="1"/>
      <name val="Calibri"/>
    </font>
    <font>
      <sz val="11"/>
      <name val="Aptos Narrow"/>
    </font>
    <font>
      <sz val="11"/>
      <color theme="1"/>
      <name val="Calibri"/>
    </font>
    <font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1E4F5"/>
        <bgColor rgb="FFC1E4F5"/>
      </patternFill>
    </fill>
    <fill>
      <patternFill patternType="solid">
        <fgColor rgb="FFD9F2D0"/>
        <bgColor rgb="FFD9F2D0"/>
      </patternFill>
    </fill>
    <fill>
      <patternFill patternType="solid">
        <fgColor rgb="FFDBE9F7"/>
        <bgColor rgb="FFDBE9F7"/>
      </patternFill>
    </fill>
    <fill>
      <patternFill patternType="solid">
        <fgColor rgb="FFE3F4D4"/>
        <bgColor rgb="FFE3F4D4"/>
      </patternFill>
    </fill>
    <fill>
      <patternFill patternType="solid">
        <fgColor rgb="FFFAE2D5"/>
        <bgColor rgb="FFFAE2D5"/>
      </patternFill>
    </fill>
  </fills>
  <borders count="33">
    <border>
      <left/>
      <right/>
      <top/>
      <bottom/>
      <diagonal/>
    </border>
    <border>
      <left style="thin">
        <color rgb="FF45B0E1"/>
      </left>
      <right/>
      <top style="thin">
        <color rgb="FF45B0E1"/>
      </top>
      <bottom/>
      <diagonal/>
    </border>
    <border>
      <left style="thin">
        <color rgb="FF8ED873"/>
      </left>
      <right/>
      <top style="thin">
        <color rgb="FF8ED873"/>
      </top>
      <bottom/>
      <diagonal/>
    </border>
    <border>
      <left/>
      <right/>
      <top/>
      <bottom style="thin">
        <color rgb="FF4D94D8"/>
      </bottom>
      <diagonal/>
    </border>
    <border>
      <left/>
      <right/>
      <top style="thin">
        <color rgb="FF45B0E1"/>
      </top>
      <bottom/>
      <diagonal/>
    </border>
    <border>
      <left/>
      <right/>
      <top style="thin">
        <color rgb="FF8ED873"/>
      </top>
      <bottom/>
      <diagonal/>
    </border>
    <border>
      <left/>
      <right style="thin">
        <color rgb="FF45B0E1"/>
      </right>
      <top style="thin">
        <color rgb="FF45B0E1"/>
      </top>
      <bottom/>
      <diagonal/>
    </border>
    <border>
      <left/>
      <right style="thin">
        <color rgb="FF8ED873"/>
      </right>
      <top style="thin">
        <color rgb="FF8ED873"/>
      </top>
      <bottom/>
      <diagonal/>
    </border>
    <border>
      <left style="thin">
        <color rgb="FF4D94D8"/>
      </left>
      <right/>
      <top style="thin">
        <color rgb="FF4D94D8"/>
      </top>
      <bottom/>
      <diagonal/>
    </border>
    <border>
      <left/>
      <right/>
      <top style="thin">
        <color rgb="FF4D94D8"/>
      </top>
      <bottom/>
      <diagonal/>
    </border>
    <border>
      <left style="thin">
        <color rgb="FF45B0E1"/>
      </left>
      <right/>
      <top/>
      <bottom/>
      <diagonal/>
    </border>
    <border>
      <left style="thin">
        <color rgb="FF8ED873"/>
      </left>
      <right/>
      <top/>
      <bottom/>
      <diagonal/>
    </border>
    <border>
      <left/>
      <right style="thin">
        <color rgb="FF45B0E1"/>
      </right>
      <top/>
      <bottom/>
      <diagonal/>
    </border>
    <border>
      <left/>
      <right style="thin">
        <color rgb="FF8ED873"/>
      </right>
      <top/>
      <bottom/>
      <diagonal/>
    </border>
    <border>
      <left/>
      <right style="thin">
        <color rgb="FF4D94D8"/>
      </right>
      <top style="thin">
        <color rgb="FF4D94D8"/>
      </top>
      <bottom/>
      <diagonal/>
    </border>
    <border>
      <left style="thin">
        <color rgb="FF45B0E1"/>
      </left>
      <right/>
      <top/>
      <bottom style="thin">
        <color rgb="FF45B0E1"/>
      </bottom>
      <diagonal/>
    </border>
    <border>
      <left style="thin">
        <color rgb="FF8ED873"/>
      </left>
      <right/>
      <top/>
      <bottom style="thin">
        <color rgb="FF8ED873"/>
      </bottom>
      <diagonal/>
    </border>
    <border>
      <left style="thin">
        <color rgb="FF4D94D8"/>
      </left>
      <right/>
      <top/>
      <bottom/>
      <diagonal/>
    </border>
    <border>
      <left/>
      <right/>
      <top/>
      <bottom style="thin">
        <color rgb="FF45B0E1"/>
      </bottom>
      <diagonal/>
    </border>
    <border>
      <left/>
      <right style="thin">
        <color rgb="FF45B0E1"/>
      </right>
      <top/>
      <bottom style="thin">
        <color rgb="FF45B0E1"/>
      </bottom>
      <diagonal/>
    </border>
    <border>
      <left/>
      <right/>
      <top/>
      <bottom style="thin">
        <color rgb="FF8ED873"/>
      </bottom>
      <diagonal/>
    </border>
    <border>
      <left/>
      <right style="thin">
        <color rgb="FF8ED873"/>
      </right>
      <top/>
      <bottom style="thin">
        <color rgb="FF8ED873"/>
      </bottom>
      <diagonal/>
    </border>
    <border>
      <left/>
      <right style="thin">
        <color rgb="FF4D94D8"/>
      </right>
      <top/>
      <bottom/>
      <diagonal/>
    </border>
    <border>
      <left style="thin">
        <color rgb="FF4D94D8"/>
      </left>
      <right/>
      <top/>
      <bottom style="thin">
        <color rgb="FF4D94D8"/>
      </bottom>
      <diagonal/>
    </border>
    <border>
      <left/>
      <right style="thin">
        <color rgb="FF4D94D8"/>
      </right>
      <top/>
      <bottom style="thin">
        <color rgb="FF4D94D8"/>
      </bottom>
      <diagonal/>
    </border>
    <border>
      <left style="thin">
        <color rgb="FFF1A983"/>
      </left>
      <right/>
      <top style="thin">
        <color rgb="FFF1A983"/>
      </top>
      <bottom/>
      <diagonal/>
    </border>
    <border>
      <left/>
      <right/>
      <top style="thin">
        <color rgb="FFF1A983"/>
      </top>
      <bottom/>
      <diagonal/>
    </border>
    <border>
      <left/>
      <right style="thin">
        <color rgb="FFF1A983"/>
      </right>
      <top style="thin">
        <color rgb="FFF1A983"/>
      </top>
      <bottom/>
      <diagonal/>
    </border>
    <border>
      <left style="thin">
        <color rgb="FFF1A983"/>
      </left>
      <right/>
      <top/>
      <bottom/>
      <diagonal/>
    </border>
    <border>
      <left/>
      <right style="thin">
        <color rgb="FFF1A983"/>
      </right>
      <top/>
      <bottom/>
      <diagonal/>
    </border>
    <border>
      <left style="thin">
        <color rgb="FFF1A983"/>
      </left>
      <right/>
      <top/>
      <bottom style="thin">
        <color rgb="FFF1A983"/>
      </bottom>
      <diagonal/>
    </border>
    <border>
      <left/>
      <right/>
      <top/>
      <bottom style="thin">
        <color rgb="FFF1A983"/>
      </bottom>
      <diagonal/>
    </border>
    <border>
      <left/>
      <right style="thin">
        <color rgb="FFF1A983"/>
      </right>
      <top/>
      <bottom style="thin">
        <color rgb="FFF1A983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/>
    <xf numFmtId="0" fontId="1" fillId="3" borderId="2" xfId="0" applyFont="1" applyFill="1" applyBorder="1"/>
    <xf numFmtId="0" fontId="1" fillId="2" borderId="4" xfId="0" applyFont="1" applyFill="1" applyBorder="1"/>
    <xf numFmtId="0" fontId="1" fillId="3" borderId="5" xfId="0" applyFont="1" applyFill="1" applyBorder="1"/>
    <xf numFmtId="0" fontId="2" fillId="0" borderId="0" xfId="0" applyFont="1" applyAlignment="1">
      <alignment vertical="center"/>
    </xf>
    <xf numFmtId="0" fontId="4" fillId="0" borderId="0" xfId="0" applyFont="1"/>
    <xf numFmtId="0" fontId="1" fillId="2" borderId="6" xfId="0" applyFont="1" applyFill="1" applyBorder="1"/>
    <xf numFmtId="0" fontId="1" fillId="3" borderId="7" xfId="0" applyFont="1" applyFill="1" applyBorder="1"/>
    <xf numFmtId="0" fontId="1" fillId="4" borderId="8" xfId="0" applyFont="1" applyFill="1" applyBorder="1" applyAlignment="1">
      <alignment horizontal="left"/>
    </xf>
    <xf numFmtId="0" fontId="1" fillId="4" borderId="9" xfId="0" applyFont="1" applyFill="1" applyBorder="1" applyAlignment="1">
      <alignment horizontal="left"/>
    </xf>
    <xf numFmtId="0" fontId="4" fillId="0" borderId="10" xfId="0" applyFont="1" applyBorder="1"/>
    <xf numFmtId="6" fontId="4" fillId="0" borderId="0" xfId="0" applyNumberFormat="1" applyFont="1"/>
    <xf numFmtId="0" fontId="4" fillId="0" borderId="11" xfId="0" applyFont="1" applyBorder="1"/>
    <xf numFmtId="0" fontId="1" fillId="5" borderId="9" xfId="0" applyFont="1" applyFill="1" applyBorder="1"/>
    <xf numFmtId="6" fontId="4" fillId="0" borderId="12" xfId="0" applyNumberFormat="1" applyFont="1" applyBorder="1"/>
    <xf numFmtId="6" fontId="4" fillId="0" borderId="13" xfId="0" applyNumberFormat="1" applyFont="1" applyBorder="1"/>
    <xf numFmtId="0" fontId="1" fillId="4" borderId="14" xfId="0" applyFont="1" applyFill="1" applyBorder="1" applyAlignment="1">
      <alignment horizontal="left"/>
    </xf>
    <xf numFmtId="0" fontId="1" fillId="5" borderId="14" xfId="0" applyFont="1" applyFill="1" applyBorder="1"/>
    <xf numFmtId="0" fontId="1" fillId="3" borderId="2" xfId="0" applyFont="1" applyFill="1" applyBorder="1" applyAlignment="1">
      <alignment horizontal="left"/>
    </xf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1" fillId="3" borderId="7" xfId="0" applyFont="1" applyFill="1" applyBorder="1" applyAlignment="1">
      <alignment horizontal="left"/>
    </xf>
    <xf numFmtId="6" fontId="4" fillId="0" borderId="18" xfId="0" applyNumberFormat="1" applyFont="1" applyBorder="1"/>
    <xf numFmtId="6" fontId="4" fillId="0" borderId="19" xfId="0" applyNumberFormat="1" applyFont="1" applyBorder="1"/>
    <xf numFmtId="6" fontId="4" fillId="0" borderId="20" xfId="0" applyNumberFormat="1" applyFont="1" applyBorder="1"/>
    <xf numFmtId="164" fontId="4" fillId="0" borderId="0" xfId="0" applyNumberFormat="1" applyFont="1"/>
    <xf numFmtId="16" fontId="4" fillId="0" borderId="17" xfId="0" applyNumberFormat="1" applyFont="1" applyBorder="1"/>
    <xf numFmtId="6" fontId="4" fillId="0" borderId="21" xfId="0" applyNumberFormat="1" applyFont="1" applyBorder="1"/>
    <xf numFmtId="164" fontId="4" fillId="0" borderId="22" xfId="0" applyNumberFormat="1" applyFont="1" applyBorder="1"/>
    <xf numFmtId="164" fontId="4" fillId="0" borderId="13" xfId="0" applyNumberFormat="1" applyFont="1" applyBorder="1"/>
    <xf numFmtId="164" fontId="4" fillId="0" borderId="21" xfId="0" applyNumberFormat="1" applyFont="1" applyBorder="1"/>
    <xf numFmtId="0" fontId="5" fillId="0" borderId="0" xfId="0" applyFont="1"/>
    <xf numFmtId="16" fontId="4" fillId="0" borderId="23" xfId="0" applyNumberFormat="1" applyFont="1" applyBorder="1"/>
    <xf numFmtId="0" fontId="4" fillId="0" borderId="3" xfId="0" applyFont="1" applyBorder="1"/>
    <xf numFmtId="164" fontId="4" fillId="0" borderId="24" xfId="0" applyNumberFormat="1" applyFont="1" applyBorder="1"/>
    <xf numFmtId="0" fontId="4" fillId="0" borderId="23" xfId="0" applyFont="1" applyBorder="1"/>
    <xf numFmtId="164" fontId="4" fillId="0" borderId="3" xfId="0" applyNumberFormat="1" applyFont="1" applyBorder="1"/>
    <xf numFmtId="0" fontId="1" fillId="6" borderId="25" xfId="0" applyFont="1" applyFill="1" applyBorder="1"/>
    <xf numFmtId="0" fontId="1" fillId="6" borderId="26" xfId="0" applyFont="1" applyFill="1" applyBorder="1"/>
    <xf numFmtId="0" fontId="1" fillId="6" borderId="27" xfId="0" applyFont="1" applyFill="1" applyBorder="1"/>
    <xf numFmtId="0" fontId="4" fillId="0" borderId="0" xfId="0" applyFont="1" applyAlignment="1">
      <alignment horizontal="center"/>
    </xf>
    <xf numFmtId="0" fontId="4" fillId="0" borderId="28" xfId="0" applyFont="1" applyBorder="1"/>
    <xf numFmtId="6" fontId="4" fillId="0" borderId="29" xfId="0" applyNumberFormat="1" applyFont="1" applyBorder="1"/>
    <xf numFmtId="0" fontId="4" fillId="0" borderId="30" xfId="0" applyFont="1" applyBorder="1"/>
    <xf numFmtId="6" fontId="4" fillId="0" borderId="31" xfId="0" applyNumberFormat="1" applyFont="1" applyBorder="1"/>
    <xf numFmtId="6" fontId="4" fillId="0" borderId="32" xfId="0" applyNumberFormat="1" applyFont="1" applyBorder="1"/>
    <xf numFmtId="0" fontId="2" fillId="0" borderId="3" xfId="0" applyFont="1" applyBorder="1" applyAlignment="1">
      <alignment horizontal="center" vertical="center"/>
    </xf>
    <xf numFmtId="0" fontId="3" fillId="0" borderId="3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Normal="100" workbookViewId="0">
      <selection activeCell="C25" sqref="C25"/>
    </sheetView>
  </sheetViews>
  <sheetFormatPr defaultColWidth="12.6640625" defaultRowHeight="15" customHeight="1"/>
  <cols>
    <col min="1" max="2" width="20" customWidth="1"/>
    <col min="3" max="3" width="19" customWidth="1"/>
    <col min="4" max="4" width="19.109375" customWidth="1"/>
    <col min="5" max="5" width="21.21875" customWidth="1"/>
    <col min="6" max="6" width="20.6640625" customWidth="1"/>
    <col min="7" max="7" width="13.88671875" customWidth="1"/>
    <col min="8" max="26" width="9.109375" customWidth="1"/>
  </cols>
  <sheetData>
    <row r="1" spans="1:26" ht="34.5" customHeight="1">
      <c r="A1" s="50" t="s">
        <v>0</v>
      </c>
      <c r="B1" s="51"/>
      <c r="C1" s="51"/>
      <c r="D1" s="51"/>
      <c r="E1" s="51"/>
      <c r="F1" s="51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7.25" customHeight="1">
      <c r="A2" s="9" t="s">
        <v>6</v>
      </c>
      <c r="B2" s="10" t="s">
        <v>7</v>
      </c>
      <c r="C2" s="17" t="s">
        <v>11</v>
      </c>
      <c r="D2" s="6"/>
      <c r="E2" s="19" t="s">
        <v>7</v>
      </c>
      <c r="F2" s="23" t="s">
        <v>11</v>
      </c>
      <c r="G2" s="6"/>
      <c r="H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7.25" customHeight="1">
      <c r="A3" s="28">
        <v>45658</v>
      </c>
      <c r="B3" s="6" t="s">
        <v>32</v>
      </c>
      <c r="C3" s="30">
        <v>1250</v>
      </c>
      <c r="D3" s="6"/>
      <c r="E3" s="13" t="s">
        <v>32</v>
      </c>
      <c r="F3" s="31">
        <v>10960</v>
      </c>
      <c r="G3" s="6"/>
      <c r="H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7.25" customHeight="1">
      <c r="A4" s="28">
        <v>45658</v>
      </c>
      <c r="B4" s="6" t="s">
        <v>34</v>
      </c>
      <c r="C4" s="30">
        <v>980</v>
      </c>
      <c r="D4" s="6"/>
      <c r="E4" s="13" t="s">
        <v>34</v>
      </c>
      <c r="F4" s="31">
        <v>5280</v>
      </c>
      <c r="G4" s="6"/>
      <c r="H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7.25" customHeight="1">
      <c r="A5" s="28">
        <v>45660</v>
      </c>
      <c r="B5" s="6" t="s">
        <v>32</v>
      </c>
      <c r="C5" s="30">
        <v>1540</v>
      </c>
      <c r="D5" s="6"/>
      <c r="E5" s="13" t="s">
        <v>35</v>
      </c>
      <c r="F5" s="31">
        <v>2690</v>
      </c>
      <c r="G5" s="6"/>
      <c r="H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7.25" customHeight="1">
      <c r="A6" s="28">
        <v>45661</v>
      </c>
      <c r="B6" s="6" t="s">
        <v>35</v>
      </c>
      <c r="C6" s="30">
        <v>620</v>
      </c>
      <c r="D6" s="6"/>
      <c r="E6" s="21" t="s">
        <v>36</v>
      </c>
      <c r="F6" s="32">
        <v>8410</v>
      </c>
      <c r="G6" s="6"/>
      <c r="H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7.25" customHeight="1">
      <c r="A7" s="28">
        <v>45662</v>
      </c>
      <c r="B7" s="6" t="s">
        <v>32</v>
      </c>
      <c r="C7" s="30">
        <v>1310</v>
      </c>
      <c r="D7" s="6"/>
      <c r="E7" s="6"/>
      <c r="F7" s="6"/>
      <c r="G7" s="6"/>
      <c r="H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7.25" customHeight="1">
      <c r="A8" s="28">
        <v>45663</v>
      </c>
      <c r="B8" s="6" t="s">
        <v>36</v>
      </c>
      <c r="C8" s="30">
        <v>2200</v>
      </c>
      <c r="D8" s="6"/>
      <c r="E8" s="6"/>
      <c r="F8" s="6"/>
      <c r="G8" s="6"/>
      <c r="H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7.25" customHeight="1">
      <c r="A9" s="28">
        <v>45664</v>
      </c>
      <c r="B9" s="6" t="s">
        <v>34</v>
      </c>
      <c r="C9" s="30">
        <v>1120</v>
      </c>
      <c r="D9" s="6"/>
      <c r="E9" s="6"/>
      <c r="F9" s="6"/>
      <c r="G9" s="6"/>
      <c r="H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7.25" customHeight="1">
      <c r="A10" s="28">
        <v>45665</v>
      </c>
      <c r="B10" s="6" t="s">
        <v>35</v>
      </c>
      <c r="C10" s="30">
        <v>700</v>
      </c>
      <c r="D10" s="6"/>
      <c r="E10" s="6"/>
      <c r="F10" s="6"/>
      <c r="G10" s="6"/>
      <c r="H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7.25" customHeight="1">
      <c r="A11" s="28">
        <v>45667</v>
      </c>
      <c r="B11" s="6" t="s">
        <v>32</v>
      </c>
      <c r="C11" s="30">
        <v>1890</v>
      </c>
      <c r="D11" s="6"/>
      <c r="E11" s="6"/>
      <c r="F11" s="6"/>
      <c r="G11" s="6"/>
      <c r="H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7.25" customHeight="1">
      <c r="A12" s="28">
        <v>45667</v>
      </c>
      <c r="B12" s="6" t="s">
        <v>36</v>
      </c>
      <c r="C12" s="30">
        <v>1760</v>
      </c>
      <c r="D12" s="6"/>
      <c r="E12" s="6"/>
      <c r="F12" s="6"/>
      <c r="G12" s="6"/>
      <c r="H12" s="6"/>
      <c r="I12" s="33" t="s">
        <v>40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7.25" customHeight="1">
      <c r="A13" s="28">
        <v>45669</v>
      </c>
      <c r="B13" s="6" t="s">
        <v>34</v>
      </c>
      <c r="C13" s="30">
        <v>1050</v>
      </c>
      <c r="D13" s="6"/>
      <c r="E13" s="6"/>
      <c r="F13" s="6"/>
      <c r="G13" s="6"/>
      <c r="H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7.25" customHeight="1">
      <c r="A14" s="28">
        <v>45669</v>
      </c>
      <c r="B14" s="6" t="s">
        <v>32</v>
      </c>
      <c r="C14" s="30">
        <v>1420</v>
      </c>
      <c r="D14" s="6"/>
      <c r="E14" s="6"/>
      <c r="F14" s="6"/>
      <c r="G14" s="6"/>
      <c r="H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7.25" customHeight="1">
      <c r="A15" s="28">
        <v>45670</v>
      </c>
      <c r="B15" s="6" t="s">
        <v>35</v>
      </c>
      <c r="C15" s="30">
        <v>660</v>
      </c>
      <c r="D15" s="6"/>
      <c r="E15" s="6"/>
      <c r="F15" s="6"/>
      <c r="G15" s="6"/>
      <c r="H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7.25" customHeight="1">
      <c r="A16" s="28">
        <v>45671</v>
      </c>
      <c r="B16" s="6" t="s">
        <v>36</v>
      </c>
      <c r="C16" s="30">
        <v>2340</v>
      </c>
      <c r="D16" s="6"/>
      <c r="E16" s="6"/>
      <c r="F16" s="6"/>
      <c r="G16" s="27"/>
      <c r="H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7.25" customHeight="1">
      <c r="A17" s="28">
        <v>45672</v>
      </c>
      <c r="B17" s="6" t="s">
        <v>32</v>
      </c>
      <c r="C17" s="30">
        <v>1670</v>
      </c>
      <c r="D17" s="6"/>
      <c r="E17" s="6"/>
      <c r="F17" s="6"/>
      <c r="G17" s="6"/>
      <c r="H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7.25" customHeight="1">
      <c r="A18" s="28">
        <v>45673</v>
      </c>
      <c r="B18" s="6" t="s">
        <v>34</v>
      </c>
      <c r="C18" s="30">
        <v>930</v>
      </c>
      <c r="D18" s="6"/>
      <c r="E18" s="6"/>
      <c r="F18" s="6"/>
      <c r="G18" s="6"/>
      <c r="H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7.25" customHeight="1">
      <c r="A19" s="28">
        <v>45673</v>
      </c>
      <c r="B19" s="6" t="s">
        <v>35</v>
      </c>
      <c r="C19" s="30">
        <v>710</v>
      </c>
      <c r="D19" s="6"/>
      <c r="E19" s="6"/>
      <c r="F19" s="6"/>
      <c r="G19" s="6"/>
      <c r="H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7.25" customHeight="1">
      <c r="A20" s="28">
        <v>45673</v>
      </c>
      <c r="B20" s="6" t="s">
        <v>32</v>
      </c>
      <c r="C20" s="30">
        <v>1880</v>
      </c>
      <c r="D20" s="6"/>
      <c r="E20" s="6"/>
      <c r="F20" s="6"/>
      <c r="G20" s="6"/>
      <c r="H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7.25" customHeight="1">
      <c r="A21" s="28">
        <v>45676</v>
      </c>
      <c r="B21" s="6" t="s">
        <v>36</v>
      </c>
      <c r="C21" s="30">
        <v>2110</v>
      </c>
      <c r="D21" s="6"/>
      <c r="E21" s="6"/>
      <c r="F21" s="6"/>
      <c r="G21" s="6"/>
      <c r="H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7.25" customHeight="1">
      <c r="A22" s="34">
        <v>45677</v>
      </c>
      <c r="B22" s="35" t="s">
        <v>34</v>
      </c>
      <c r="C22" s="36">
        <v>1200</v>
      </c>
      <c r="D22" s="6"/>
      <c r="E22" s="6"/>
      <c r="F22" s="6"/>
      <c r="G22" s="6"/>
      <c r="H22" s="6"/>
      <c r="M22" s="6"/>
      <c r="N22" s="6"/>
      <c r="O22" s="6"/>
      <c r="P22" s="6"/>
      <c r="Q22" s="6"/>
      <c r="R22" s="6"/>
      <c r="S22" s="6" t="s">
        <v>40</v>
      </c>
      <c r="T22" s="6"/>
      <c r="U22" s="6"/>
      <c r="V22" s="6"/>
      <c r="W22" s="6"/>
      <c r="X22" s="6"/>
      <c r="Y22" s="6"/>
      <c r="Z22" s="6"/>
    </row>
    <row r="23" spans="1:26" ht="17.25" customHeight="1">
      <c r="A23" s="6"/>
      <c r="B23" s="6"/>
      <c r="C23" s="6"/>
      <c r="D23" s="6"/>
      <c r="E23" s="6"/>
      <c r="F23" s="6"/>
      <c r="G23" s="6"/>
      <c r="H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7.25" customHeight="1">
      <c r="A24" s="6"/>
      <c r="B24" s="6"/>
      <c r="C24" s="6"/>
      <c r="D24" s="6"/>
      <c r="E24" s="6"/>
      <c r="F24" s="6"/>
      <c r="G24" s="6"/>
      <c r="H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7.25" customHeight="1">
      <c r="A25" s="6"/>
      <c r="B25" s="6"/>
      <c r="C25" s="6"/>
      <c r="D25" s="6"/>
      <c r="E25" s="6"/>
      <c r="F25" s="6"/>
      <c r="G25" s="6"/>
      <c r="H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6"/>
      <c r="B26" s="6"/>
      <c r="C26" s="6"/>
      <c r="D26" s="6"/>
      <c r="E26" s="6"/>
      <c r="F26" s="6"/>
      <c r="G26" s="6"/>
      <c r="H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6"/>
      <c r="B27" s="6"/>
      <c r="C27" s="6"/>
      <c r="D27" s="6"/>
      <c r="E27" s="6"/>
      <c r="F27" s="6"/>
      <c r="G27" s="6"/>
      <c r="H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Consolidate leftLabels="1">
    <dataRefs count="1">
      <dataRef ref="B3:C22" sheet="Consolidate rows"/>
    </dataRefs>
  </dataConsolidate>
  <mergeCells count="1">
    <mergeCell ref="A1:F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10" sqref="H10"/>
    </sheetView>
  </sheetViews>
  <sheetFormatPr defaultColWidth="12.6640625" defaultRowHeight="15" customHeight="1"/>
  <cols>
    <col min="1" max="1" width="25.21875" customWidth="1"/>
    <col min="2" max="3" width="19" customWidth="1"/>
    <col min="4" max="5" width="19.109375" customWidth="1"/>
    <col min="6" max="6" width="21.21875" customWidth="1"/>
    <col min="7" max="7" width="20" customWidth="1"/>
    <col min="8" max="8" width="9.33203125" customWidth="1"/>
    <col min="9" max="26" width="9.109375" customWidth="1"/>
  </cols>
  <sheetData>
    <row r="1" spans="1:26" ht="34.5" customHeight="1">
      <c r="A1" s="48" t="s">
        <v>2</v>
      </c>
      <c r="B1" s="49"/>
      <c r="C1" s="49"/>
      <c r="D1" s="49"/>
      <c r="E1" s="49"/>
      <c r="F1" s="49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7.25" customHeight="1">
      <c r="A2" s="9" t="s">
        <v>7</v>
      </c>
      <c r="B2" s="10" t="s">
        <v>3</v>
      </c>
      <c r="C2" s="10" t="s">
        <v>4</v>
      </c>
      <c r="D2" s="10" t="s">
        <v>5</v>
      </c>
      <c r="E2" s="14" t="s">
        <v>10</v>
      </c>
      <c r="F2" s="18" t="s">
        <v>12</v>
      </c>
      <c r="G2" s="6"/>
      <c r="H2" s="6"/>
      <c r="I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7.25" customHeight="1">
      <c r="A3" s="22" t="s">
        <v>31</v>
      </c>
      <c r="B3" s="27">
        <v>1200</v>
      </c>
      <c r="C3" s="27">
        <v>1400</v>
      </c>
      <c r="D3" s="27">
        <v>1650</v>
      </c>
      <c r="E3" s="27">
        <f>SUM(B3:D3)</f>
        <v>4250</v>
      </c>
      <c r="F3" s="30">
        <f>AVERAGE(B3:D3)</f>
        <v>1416.6666666666667</v>
      </c>
      <c r="G3" s="27"/>
      <c r="H3" s="27"/>
      <c r="I3" s="2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7.25" customHeight="1">
      <c r="A4" s="22" t="s">
        <v>33</v>
      </c>
      <c r="B4" s="27">
        <v>1450</v>
      </c>
      <c r="C4" s="27">
        <v>1320</v>
      </c>
      <c r="D4" s="27">
        <v>1750</v>
      </c>
      <c r="E4" s="27">
        <f t="shared" ref="E4:E17" si="0">SUM(B4:D4)</f>
        <v>4520</v>
      </c>
      <c r="F4" s="30">
        <f t="shared" ref="F4:F17" si="1">AVERAGE(B4:D4)</f>
        <v>1506.6666666666667</v>
      </c>
      <c r="G4" s="27"/>
      <c r="H4" s="27"/>
      <c r="I4" s="2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7.25" customHeight="1">
      <c r="A5" s="22" t="s">
        <v>36</v>
      </c>
      <c r="B5" s="27">
        <v>1600</v>
      </c>
      <c r="C5" s="27">
        <v>1600</v>
      </c>
      <c r="D5" s="27">
        <v>1180</v>
      </c>
      <c r="E5" s="27">
        <f t="shared" si="0"/>
        <v>4380</v>
      </c>
      <c r="F5" s="30">
        <f t="shared" si="1"/>
        <v>1460</v>
      </c>
      <c r="G5" s="27"/>
      <c r="H5" s="27"/>
      <c r="I5" s="2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7.25" customHeight="1">
      <c r="A6" s="22" t="s">
        <v>37</v>
      </c>
      <c r="B6" s="27">
        <v>1150</v>
      </c>
      <c r="C6" s="27">
        <v>1750</v>
      </c>
      <c r="D6" s="27">
        <v>1450</v>
      </c>
      <c r="E6" s="27">
        <f t="shared" si="0"/>
        <v>4350</v>
      </c>
      <c r="F6" s="30">
        <f t="shared" si="1"/>
        <v>1450</v>
      </c>
      <c r="G6" s="27"/>
      <c r="H6" s="27"/>
      <c r="I6" s="2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7.25" customHeight="1">
      <c r="A7" s="22" t="s">
        <v>38</v>
      </c>
      <c r="B7" s="27">
        <v>1250</v>
      </c>
      <c r="C7" s="27">
        <v>1800</v>
      </c>
      <c r="D7" s="27">
        <v>2000</v>
      </c>
      <c r="E7" s="27">
        <f t="shared" si="0"/>
        <v>5050</v>
      </c>
      <c r="F7" s="30">
        <f t="shared" si="1"/>
        <v>1683.3333333333333</v>
      </c>
      <c r="G7" s="27"/>
      <c r="H7" s="27"/>
      <c r="I7" s="2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7.25" customHeight="1">
      <c r="A8" s="22" t="s">
        <v>39</v>
      </c>
      <c r="B8" s="27">
        <v>1850</v>
      </c>
      <c r="C8" s="27">
        <v>1500</v>
      </c>
      <c r="D8" s="27">
        <v>1120</v>
      </c>
      <c r="E8" s="27">
        <f t="shared" si="0"/>
        <v>4470</v>
      </c>
      <c r="F8" s="30">
        <f t="shared" si="1"/>
        <v>1490</v>
      </c>
      <c r="G8" s="27"/>
      <c r="H8" s="27"/>
      <c r="I8" s="2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7.25" customHeight="1">
      <c r="A9" s="22" t="s">
        <v>41</v>
      </c>
      <c r="B9" s="27">
        <v>1350</v>
      </c>
      <c r="C9" s="27">
        <v>1010</v>
      </c>
      <c r="D9" s="27">
        <v>1250</v>
      </c>
      <c r="E9" s="27">
        <f t="shared" si="0"/>
        <v>3610</v>
      </c>
      <c r="F9" s="30">
        <f t="shared" si="1"/>
        <v>1203.3333333333333</v>
      </c>
      <c r="G9" s="27"/>
      <c r="H9" s="27"/>
      <c r="I9" s="2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7.25" customHeight="1">
      <c r="A10" s="22" t="s">
        <v>34</v>
      </c>
      <c r="B10" s="27">
        <v>1200</v>
      </c>
      <c r="C10" s="27">
        <v>1550</v>
      </c>
      <c r="D10" s="27">
        <v>1550</v>
      </c>
      <c r="E10" s="27">
        <f t="shared" si="0"/>
        <v>4300</v>
      </c>
      <c r="F10" s="30">
        <f t="shared" si="1"/>
        <v>1433.3333333333333</v>
      </c>
      <c r="G10" s="27"/>
      <c r="H10" s="27"/>
      <c r="I10" s="2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7.25" customHeight="1">
      <c r="A11" s="22" t="s">
        <v>42</v>
      </c>
      <c r="B11" s="27">
        <v>1950</v>
      </c>
      <c r="C11" s="27">
        <v>1700</v>
      </c>
      <c r="D11" s="27">
        <v>1900</v>
      </c>
      <c r="E11" s="27">
        <f t="shared" si="0"/>
        <v>5550</v>
      </c>
      <c r="F11" s="30">
        <f t="shared" si="1"/>
        <v>1850</v>
      </c>
      <c r="G11" s="27"/>
      <c r="H11" s="27"/>
      <c r="I11" s="2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7.25" customHeight="1">
      <c r="A12" s="22" t="s">
        <v>43</v>
      </c>
      <c r="B12" s="27">
        <v>1350</v>
      </c>
      <c r="C12" s="27">
        <v>1080</v>
      </c>
      <c r="D12" s="27">
        <v>1500</v>
      </c>
      <c r="E12" s="27">
        <f t="shared" si="0"/>
        <v>3930</v>
      </c>
      <c r="F12" s="30">
        <f t="shared" si="1"/>
        <v>1310</v>
      </c>
      <c r="G12" s="27"/>
      <c r="H12" s="27"/>
      <c r="I12" s="2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7.25" customHeight="1">
      <c r="A13" s="22" t="s">
        <v>44</v>
      </c>
      <c r="B13" s="27">
        <v>1400</v>
      </c>
      <c r="C13" s="27">
        <v>1000</v>
      </c>
      <c r="D13" s="27">
        <v>1650</v>
      </c>
      <c r="E13" s="27">
        <f t="shared" si="0"/>
        <v>4050</v>
      </c>
      <c r="F13" s="30">
        <f t="shared" si="1"/>
        <v>1350</v>
      </c>
      <c r="G13" s="27"/>
      <c r="H13" s="27"/>
      <c r="I13" s="2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7.25" customHeight="1">
      <c r="A14" s="22" t="s">
        <v>45</v>
      </c>
      <c r="B14" s="27">
        <v>1100</v>
      </c>
      <c r="C14" s="27">
        <v>1450</v>
      </c>
      <c r="D14" s="27">
        <v>1600</v>
      </c>
      <c r="E14" s="27">
        <f t="shared" si="0"/>
        <v>4150</v>
      </c>
      <c r="F14" s="30">
        <f t="shared" si="1"/>
        <v>1383.3333333333333</v>
      </c>
      <c r="G14" s="27"/>
      <c r="H14" s="27"/>
      <c r="I14" s="2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7.25" customHeight="1">
      <c r="A15" s="22" t="s">
        <v>46</v>
      </c>
      <c r="B15" s="27">
        <v>1300</v>
      </c>
      <c r="C15" s="27">
        <v>1700</v>
      </c>
      <c r="D15" s="27">
        <v>1550</v>
      </c>
      <c r="E15" s="27">
        <f t="shared" si="0"/>
        <v>4550</v>
      </c>
      <c r="F15" s="30">
        <f t="shared" si="1"/>
        <v>1516.6666666666667</v>
      </c>
      <c r="G15" s="27"/>
      <c r="H15" s="27"/>
      <c r="I15" s="2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7.25" customHeight="1">
      <c r="A16" s="22" t="s">
        <v>32</v>
      </c>
      <c r="B16" s="27">
        <v>1250</v>
      </c>
      <c r="C16" s="27">
        <v>1300</v>
      </c>
      <c r="D16" s="27">
        <v>1800</v>
      </c>
      <c r="E16" s="27">
        <f t="shared" si="0"/>
        <v>4350</v>
      </c>
      <c r="F16" s="30">
        <f t="shared" si="1"/>
        <v>1450</v>
      </c>
      <c r="G16" s="27"/>
      <c r="H16" s="27"/>
      <c r="I16" s="2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7.25" customHeight="1">
      <c r="A17" s="37" t="s">
        <v>47</v>
      </c>
      <c r="B17" s="38">
        <v>1500</v>
      </c>
      <c r="C17" s="38">
        <v>1050</v>
      </c>
      <c r="D17" s="38">
        <v>1400</v>
      </c>
      <c r="E17" s="27">
        <f t="shared" si="0"/>
        <v>3950</v>
      </c>
      <c r="F17" s="30">
        <f t="shared" si="1"/>
        <v>1316.6666666666667</v>
      </c>
      <c r="G17" s="27"/>
      <c r="H17" s="27"/>
      <c r="I17" s="2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7.25" customHeight="1">
      <c r="A18" s="6"/>
      <c r="B18" s="6"/>
      <c r="C18" s="6"/>
      <c r="D18" s="6"/>
      <c r="E18" s="6"/>
      <c r="F18" s="6"/>
      <c r="G18" s="6"/>
      <c r="H18" s="6"/>
      <c r="I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7.25" customHeight="1">
      <c r="A19" s="6"/>
      <c r="B19" s="6"/>
      <c r="C19" s="6"/>
      <c r="D19" s="6"/>
      <c r="E19" s="6"/>
      <c r="F19" s="6"/>
      <c r="G19" s="6"/>
      <c r="H19" s="6"/>
      <c r="I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7.25" customHeight="1">
      <c r="A20" s="6"/>
      <c r="B20" s="6"/>
      <c r="C20" s="6"/>
      <c r="D20" s="6"/>
      <c r="E20" s="6"/>
      <c r="F20" s="6"/>
      <c r="G20" s="6"/>
      <c r="H20" s="6"/>
      <c r="I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7.25" customHeight="1">
      <c r="A21" s="6"/>
      <c r="B21" s="6"/>
      <c r="C21" s="6"/>
      <c r="D21" s="6"/>
      <c r="E21" s="6"/>
      <c r="F21" s="6"/>
      <c r="G21" s="6"/>
      <c r="H21" s="6"/>
      <c r="I21" s="42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7.25" customHeight="1">
      <c r="A22" s="6"/>
      <c r="B22" s="6"/>
      <c r="C22" s="6"/>
      <c r="D22" s="6"/>
      <c r="E22" s="6"/>
      <c r="F22" s="6"/>
      <c r="G22" s="6"/>
      <c r="H22" s="6"/>
      <c r="I22" s="6"/>
      <c r="N22" s="6"/>
      <c r="O22" s="6"/>
      <c r="P22" s="6"/>
      <c r="Q22" s="6"/>
      <c r="R22" s="6"/>
      <c r="S22" s="6"/>
      <c r="T22" s="6" t="s">
        <v>40</v>
      </c>
      <c r="U22" s="6"/>
      <c r="V22" s="6"/>
      <c r="W22" s="6"/>
      <c r="X22" s="6"/>
      <c r="Y22" s="6"/>
      <c r="Z22" s="6"/>
    </row>
    <row r="23" spans="1:26" ht="17.25" customHeight="1">
      <c r="A23" s="6"/>
      <c r="B23" s="6"/>
      <c r="C23" s="6"/>
      <c r="D23" s="6"/>
      <c r="E23" s="6"/>
      <c r="F23" s="6"/>
      <c r="G23" s="6"/>
      <c r="H23" s="6"/>
      <c r="I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7.25" customHeight="1">
      <c r="A24" s="6"/>
      <c r="B24" s="6"/>
      <c r="C24" s="6"/>
      <c r="D24" s="6"/>
      <c r="E24" s="6"/>
      <c r="F24" s="6"/>
      <c r="G24" s="6"/>
      <c r="H24" s="6"/>
      <c r="I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7.25" customHeight="1">
      <c r="F25" s="6"/>
      <c r="G25" s="6"/>
      <c r="H25" s="6"/>
      <c r="I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6"/>
      <c r="B26" s="6"/>
      <c r="C26" s="6"/>
      <c r="D26" s="6"/>
      <c r="E26" s="6"/>
      <c r="F26" s="6"/>
      <c r="G26" s="6"/>
      <c r="H26" s="6"/>
      <c r="I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6"/>
      <c r="B27" s="6"/>
      <c r="C27" s="6"/>
      <c r="D27" s="6"/>
      <c r="E27" s="6"/>
      <c r="F27" s="6"/>
      <c r="G27" s="6"/>
      <c r="H27" s="6"/>
      <c r="I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1:F1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G1:J1000"/>
  <sheetViews>
    <sheetView workbookViewId="0">
      <selection activeCell="H3" sqref="H3"/>
    </sheetView>
  </sheetViews>
  <sheetFormatPr defaultColWidth="12.6640625" defaultRowHeight="15" customHeight="1"/>
  <cols>
    <col min="1" max="1" width="13.109375" customWidth="1"/>
    <col min="2" max="4" width="8.33203125" customWidth="1"/>
    <col min="5" max="26" width="8.6640625" customWidth="1"/>
  </cols>
  <sheetData>
    <row r="1" spans="7:10" ht="17.25" customHeight="1">
      <c r="G1" s="1" t="s">
        <v>1</v>
      </c>
      <c r="H1" s="3" t="s">
        <v>3</v>
      </c>
      <c r="I1" s="3" t="s">
        <v>4</v>
      </c>
      <c r="J1" s="7" t="s">
        <v>5</v>
      </c>
    </row>
    <row r="2" spans="7:10" ht="17.25" customHeight="1">
      <c r="G2" s="11" t="s">
        <v>8</v>
      </c>
      <c r="H2" s="12">
        <v>434</v>
      </c>
      <c r="I2" s="12">
        <v>310</v>
      </c>
      <c r="J2" s="15">
        <v>170</v>
      </c>
    </row>
    <row r="3" spans="7:10" ht="17.25" customHeight="1">
      <c r="G3" s="11" t="s">
        <v>13</v>
      </c>
      <c r="H3" s="12">
        <v>170</v>
      </c>
      <c r="I3" s="12">
        <v>250</v>
      </c>
      <c r="J3" s="15">
        <v>220</v>
      </c>
    </row>
    <row r="4" spans="7:10" ht="17.25" customHeight="1">
      <c r="G4" s="11" t="s">
        <v>14</v>
      </c>
      <c r="H4" s="12">
        <v>110</v>
      </c>
      <c r="I4" s="12"/>
      <c r="J4" s="15">
        <v>340</v>
      </c>
    </row>
    <row r="5" spans="7:10" ht="17.25" customHeight="1">
      <c r="G5" s="11" t="s">
        <v>15</v>
      </c>
      <c r="H5" s="12">
        <v>120</v>
      </c>
      <c r="I5" s="12">
        <v>180</v>
      </c>
      <c r="J5" s="15">
        <v>160</v>
      </c>
    </row>
    <row r="6" spans="7:10" ht="17.25" customHeight="1">
      <c r="G6" s="11" t="s">
        <v>16</v>
      </c>
      <c r="H6" s="12">
        <v>210</v>
      </c>
      <c r="I6" s="12">
        <v>300</v>
      </c>
      <c r="J6" s="15">
        <v>270</v>
      </c>
    </row>
    <row r="7" spans="7:10" ht="17.25" customHeight="1">
      <c r="G7" s="11" t="s">
        <v>17</v>
      </c>
      <c r="H7" s="12">
        <v>180</v>
      </c>
      <c r="I7" s="12">
        <v>260</v>
      </c>
      <c r="J7" s="15">
        <v>210</v>
      </c>
    </row>
    <row r="8" spans="7:10" ht="17.25" customHeight="1">
      <c r="G8" s="11" t="s">
        <v>18</v>
      </c>
      <c r="H8" s="12">
        <v>130</v>
      </c>
      <c r="I8" s="12">
        <v>190</v>
      </c>
      <c r="J8" s="15">
        <v>150</v>
      </c>
    </row>
    <row r="9" spans="7:10" ht="17.25" customHeight="1">
      <c r="G9" s="11" t="s">
        <v>19</v>
      </c>
      <c r="H9" s="12">
        <v>175</v>
      </c>
      <c r="I9" s="12">
        <v>245</v>
      </c>
      <c r="J9" s="15">
        <v>215</v>
      </c>
    </row>
    <row r="10" spans="7:10" ht="17.25" customHeight="1">
      <c r="G10" s="11" t="s">
        <v>21</v>
      </c>
      <c r="H10" s="12">
        <v>150</v>
      </c>
      <c r="I10" s="12">
        <v>210</v>
      </c>
      <c r="J10" s="15">
        <v>190</v>
      </c>
    </row>
    <row r="11" spans="7:10" ht="17.25" customHeight="1">
      <c r="G11" s="11" t="s">
        <v>22</v>
      </c>
      <c r="H11" s="12">
        <v>160</v>
      </c>
      <c r="I11" s="12"/>
      <c r="J11" s="15">
        <v>180</v>
      </c>
    </row>
    <row r="12" spans="7:10" ht="17.25" customHeight="1">
      <c r="G12" s="11" t="s">
        <v>24</v>
      </c>
      <c r="H12" s="12">
        <v>165</v>
      </c>
      <c r="I12" s="12">
        <v>235</v>
      </c>
      <c r="J12" s="15">
        <v>205</v>
      </c>
    </row>
    <row r="13" spans="7:10" ht="17.25" customHeight="1">
      <c r="G13" s="11" t="s">
        <v>26</v>
      </c>
      <c r="H13" s="12">
        <v>110</v>
      </c>
      <c r="I13" s="12">
        <v>220</v>
      </c>
      <c r="J13" s="15">
        <v>160</v>
      </c>
    </row>
    <row r="14" spans="7:10" ht="17.25" customHeight="1">
      <c r="G14" s="11" t="s">
        <v>28</v>
      </c>
      <c r="H14" s="12">
        <v>220</v>
      </c>
      <c r="I14" s="12">
        <v>310</v>
      </c>
      <c r="J14" s="15">
        <v>280</v>
      </c>
    </row>
    <row r="15" spans="7:10" ht="17.25" customHeight="1">
      <c r="G15" s="11" t="s">
        <v>30</v>
      </c>
      <c r="H15" s="12">
        <v>140</v>
      </c>
      <c r="I15" s="12">
        <v>200</v>
      </c>
      <c r="J15" s="15">
        <v>170</v>
      </c>
    </row>
    <row r="16" spans="7:10" ht="17.25" customHeight="1">
      <c r="G16" s="11" t="s">
        <v>29</v>
      </c>
      <c r="H16" s="12">
        <v>155</v>
      </c>
      <c r="I16" s="12">
        <v>215</v>
      </c>
      <c r="J16" s="15">
        <v>185</v>
      </c>
    </row>
    <row r="17" spans="7:10" ht="17.25" customHeight="1">
      <c r="G17" s="11" t="s">
        <v>27</v>
      </c>
      <c r="H17" s="12">
        <v>190</v>
      </c>
      <c r="I17" s="12">
        <v>270</v>
      </c>
      <c r="J17" s="15">
        <v>240</v>
      </c>
    </row>
    <row r="18" spans="7:10" ht="17.25" customHeight="1">
      <c r="G18" s="11" t="s">
        <v>25</v>
      </c>
      <c r="H18" s="12">
        <v>200</v>
      </c>
      <c r="I18" s="12">
        <v>290</v>
      </c>
      <c r="J18" s="15"/>
    </row>
    <row r="19" spans="7:10" ht="17.25" customHeight="1">
      <c r="G19" s="11" t="s">
        <v>23</v>
      </c>
      <c r="H19" s="12">
        <v>250</v>
      </c>
      <c r="I19" s="12">
        <v>140</v>
      </c>
      <c r="J19" s="15">
        <v>200</v>
      </c>
    </row>
    <row r="20" spans="7:10" ht="17.25" customHeight="1">
      <c r="G20" s="11" t="s">
        <v>20</v>
      </c>
      <c r="H20" s="12">
        <v>185</v>
      </c>
      <c r="I20" s="12">
        <v>265</v>
      </c>
      <c r="J20" s="15">
        <v>235</v>
      </c>
    </row>
    <row r="21" spans="7:10" ht="17.25" customHeight="1">
      <c r="G21" s="20" t="s">
        <v>9</v>
      </c>
      <c r="H21" s="24">
        <v>145</v>
      </c>
      <c r="I21" s="24">
        <v>205</v>
      </c>
      <c r="J21" s="25">
        <v>175</v>
      </c>
    </row>
    <row r="22" spans="7:10" ht="14.25" customHeight="1"/>
    <row r="23" spans="7:10" ht="14.25" customHeight="1"/>
    <row r="24" spans="7:10" ht="14.25" customHeight="1"/>
    <row r="25" spans="7:10" ht="14.25" customHeight="1"/>
    <row r="26" spans="7:10" ht="14.25" customHeight="1"/>
    <row r="27" spans="7:10" ht="14.25" customHeight="1"/>
    <row r="28" spans="7:10" ht="14.25" customHeight="1"/>
    <row r="29" spans="7:10" ht="14.25" customHeight="1"/>
    <row r="30" spans="7:10" ht="14.25" customHeight="1"/>
    <row r="31" spans="7:10" ht="14.25" customHeight="1"/>
    <row r="32" spans="7:1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1:I1000"/>
  <sheetViews>
    <sheetView topLeftCell="A5" workbookViewId="0">
      <selection activeCell="L6" sqref="L6"/>
    </sheetView>
  </sheetViews>
  <sheetFormatPr defaultColWidth="12.6640625" defaultRowHeight="15" customHeight="1"/>
  <cols>
    <col min="1" max="1" width="13.109375" customWidth="1"/>
    <col min="2" max="4" width="8.33203125" customWidth="1"/>
    <col min="5" max="26" width="8.6640625" customWidth="1"/>
  </cols>
  <sheetData>
    <row r="1" spans="6:9" ht="17.25" customHeight="1"/>
    <row r="2" spans="6:9" ht="17.25" customHeight="1"/>
    <row r="3" spans="6:9" ht="17.25" customHeight="1">
      <c r="F3" s="2" t="s">
        <v>1</v>
      </c>
      <c r="G3" s="4" t="s">
        <v>3</v>
      </c>
      <c r="H3" s="4" t="s">
        <v>4</v>
      </c>
      <c r="I3" s="8" t="s">
        <v>5</v>
      </c>
    </row>
    <row r="4" spans="6:9" ht="17.25" customHeight="1">
      <c r="F4" s="13" t="s">
        <v>9</v>
      </c>
      <c r="G4" s="12">
        <v>160</v>
      </c>
      <c r="H4" s="12">
        <v>170</v>
      </c>
      <c r="I4" s="16">
        <v>200</v>
      </c>
    </row>
    <row r="5" spans="6:9" ht="17.25" customHeight="1">
      <c r="F5" s="13" t="s">
        <v>20</v>
      </c>
      <c r="G5" s="12">
        <v>220</v>
      </c>
      <c r="H5" s="12">
        <v>270</v>
      </c>
      <c r="I5" s="16">
        <v>190</v>
      </c>
    </row>
    <row r="6" spans="6:9" ht="17.25" customHeight="1">
      <c r="F6" s="13" t="s">
        <v>23</v>
      </c>
      <c r="G6" s="12">
        <v>245</v>
      </c>
      <c r="H6" s="12">
        <v>240</v>
      </c>
      <c r="I6" s="16">
        <v>235</v>
      </c>
    </row>
    <row r="7" spans="6:9" ht="17.25" customHeight="1">
      <c r="F7" s="13" t="s">
        <v>25</v>
      </c>
      <c r="G7" s="12">
        <v>140</v>
      </c>
      <c r="H7" s="12">
        <v>145</v>
      </c>
      <c r="I7" s="16">
        <v>140</v>
      </c>
    </row>
    <row r="8" spans="6:9" ht="17.25" customHeight="1">
      <c r="F8" s="13" t="s">
        <v>27</v>
      </c>
      <c r="G8" s="12">
        <v>130</v>
      </c>
      <c r="H8" s="12">
        <v>250</v>
      </c>
      <c r="I8" s="16">
        <v>190</v>
      </c>
    </row>
    <row r="9" spans="6:9" ht="17.25" customHeight="1">
      <c r="F9" s="13" t="s">
        <v>29</v>
      </c>
      <c r="G9" s="12">
        <v>210</v>
      </c>
      <c r="H9" s="12">
        <v>110</v>
      </c>
      <c r="I9" s="16">
        <v>150</v>
      </c>
    </row>
    <row r="10" spans="6:9" ht="17.25" customHeight="1">
      <c r="F10" s="13" t="s">
        <v>30</v>
      </c>
      <c r="G10" s="12">
        <v>310</v>
      </c>
      <c r="H10" s="12">
        <v>150</v>
      </c>
      <c r="I10" s="16">
        <v>190</v>
      </c>
    </row>
    <row r="11" spans="6:9" ht="17.25" customHeight="1">
      <c r="F11" s="13" t="s">
        <v>28</v>
      </c>
      <c r="G11" s="12">
        <v>180</v>
      </c>
      <c r="H11" s="12">
        <v>290</v>
      </c>
      <c r="I11" s="16">
        <v>205</v>
      </c>
    </row>
    <row r="12" spans="6:9" ht="17.25" customHeight="1">
      <c r="F12" s="13" t="s">
        <v>26</v>
      </c>
      <c r="G12" s="12">
        <v>100</v>
      </c>
      <c r="H12" s="12">
        <v>210</v>
      </c>
      <c r="I12" s="16">
        <v>220</v>
      </c>
    </row>
    <row r="13" spans="6:9" ht="17.25" customHeight="1">
      <c r="F13" s="13" t="s">
        <v>24</v>
      </c>
      <c r="G13" s="12">
        <v>215</v>
      </c>
      <c r="H13" s="12">
        <v>200</v>
      </c>
      <c r="I13" s="16">
        <v>185</v>
      </c>
    </row>
    <row r="14" spans="6:9" ht="17.25" customHeight="1">
      <c r="F14" s="13" t="s">
        <v>22</v>
      </c>
      <c r="G14" s="12">
        <v>140</v>
      </c>
      <c r="H14" s="12">
        <v>215</v>
      </c>
      <c r="I14" s="16">
        <v>200</v>
      </c>
    </row>
    <row r="15" spans="6:9" ht="17.25" customHeight="1">
      <c r="F15" s="13" t="s">
        <v>21</v>
      </c>
      <c r="G15" s="12">
        <v>180</v>
      </c>
      <c r="H15" s="12">
        <v>210</v>
      </c>
      <c r="I15" s="16">
        <v>120</v>
      </c>
    </row>
    <row r="16" spans="6:9" ht="17.25" customHeight="1">
      <c r="F16" s="13" t="s">
        <v>19</v>
      </c>
      <c r="G16" s="12">
        <v>160</v>
      </c>
      <c r="H16" s="12">
        <v>110</v>
      </c>
      <c r="I16" s="16">
        <v>160</v>
      </c>
    </row>
    <row r="17" spans="6:9" ht="17.25" customHeight="1">
      <c r="F17" s="13" t="s">
        <v>18</v>
      </c>
      <c r="G17" s="12">
        <v>265</v>
      </c>
      <c r="H17" s="12">
        <v>270</v>
      </c>
      <c r="I17" s="16">
        <v>260</v>
      </c>
    </row>
    <row r="18" spans="6:9" ht="17.25" customHeight="1">
      <c r="F18" s="13" t="s">
        <v>17</v>
      </c>
      <c r="G18" s="12">
        <v>340</v>
      </c>
      <c r="H18" s="12">
        <v>155</v>
      </c>
      <c r="I18" s="16">
        <v>170</v>
      </c>
    </row>
    <row r="19" spans="6:9" ht="17.25" customHeight="1">
      <c r="F19" s="13" t="s">
        <v>16</v>
      </c>
      <c r="G19" s="12">
        <v>180</v>
      </c>
      <c r="H19" s="12">
        <v>250</v>
      </c>
      <c r="I19" s="16">
        <v>165</v>
      </c>
    </row>
    <row r="20" spans="6:9" ht="17.25" customHeight="1">
      <c r="F20" s="13" t="s">
        <v>15</v>
      </c>
      <c r="G20" s="12">
        <v>280</v>
      </c>
      <c r="H20" s="12">
        <v>175</v>
      </c>
      <c r="I20" s="16"/>
    </row>
    <row r="21" spans="6:9" ht="17.25" customHeight="1">
      <c r="F21" s="13" t="s">
        <v>14</v>
      </c>
      <c r="G21" s="12">
        <v>310</v>
      </c>
      <c r="H21" s="12"/>
      <c r="I21" s="16">
        <v>220</v>
      </c>
    </row>
    <row r="22" spans="6:9" ht="14.25" customHeight="1">
      <c r="F22" s="13" t="s">
        <v>13</v>
      </c>
      <c r="G22" s="12">
        <v>235</v>
      </c>
      <c r="H22" s="12">
        <v>205</v>
      </c>
      <c r="I22" s="16">
        <v>175</v>
      </c>
    </row>
    <row r="23" spans="6:9" ht="14.25" customHeight="1">
      <c r="F23" s="21" t="s">
        <v>8</v>
      </c>
      <c r="G23" s="26">
        <v>170</v>
      </c>
      <c r="H23" s="26">
        <v>185</v>
      </c>
      <c r="I23" s="29">
        <v>300</v>
      </c>
    </row>
    <row r="24" spans="6:9" ht="14.25" customHeight="1"/>
    <row r="25" spans="6:9" ht="14.25" customHeight="1"/>
    <row r="26" spans="6:9" ht="14.25" customHeight="1"/>
    <row r="27" spans="6:9" ht="14.25" customHeight="1"/>
    <row r="28" spans="6:9" ht="14.25" customHeight="1"/>
    <row r="29" spans="6:9" ht="14.25" customHeight="1"/>
    <row r="30" spans="6:9" ht="14.25" customHeight="1"/>
    <row r="31" spans="6:9" ht="14.25" customHeight="1"/>
    <row r="32" spans="6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activeCell="D3" sqref="D3"/>
    </sheetView>
  </sheetViews>
  <sheetFormatPr defaultColWidth="12.6640625" defaultRowHeight="15" customHeight="1"/>
  <cols>
    <col min="1" max="1" width="13.109375" customWidth="1"/>
    <col min="2" max="4" width="8.33203125" customWidth="1"/>
    <col min="5" max="26" width="8.6640625" customWidth="1"/>
  </cols>
  <sheetData>
    <row r="1" spans="1:4" ht="17.25" customHeight="1">
      <c r="A1" s="39" t="s">
        <v>1</v>
      </c>
      <c r="B1" s="40" t="s">
        <v>3</v>
      </c>
      <c r="C1" s="40" t="s">
        <v>4</v>
      </c>
      <c r="D1" s="41" t="s">
        <v>5</v>
      </c>
    </row>
    <row r="2" spans="1:4" ht="17.25" customHeight="1">
      <c r="A2" s="43" t="s">
        <v>23</v>
      </c>
      <c r="B2" s="12">
        <v>190</v>
      </c>
      <c r="C2" s="12">
        <v>400</v>
      </c>
      <c r="D2" s="44">
        <v>250</v>
      </c>
    </row>
    <row r="3" spans="1:4" ht="17.25" customHeight="1">
      <c r="A3" s="43" t="s">
        <v>8</v>
      </c>
      <c r="B3" s="12">
        <v>155</v>
      </c>
      <c r="C3" s="12">
        <v>160</v>
      </c>
      <c r="D3" s="44">
        <v>260</v>
      </c>
    </row>
    <row r="4" spans="1:4" ht="17.25" customHeight="1">
      <c r="A4" s="43" t="s">
        <v>26</v>
      </c>
      <c r="B4" s="12">
        <v>320</v>
      </c>
      <c r="C4" s="12">
        <v>175</v>
      </c>
      <c r="D4" s="44">
        <v>235</v>
      </c>
    </row>
    <row r="5" spans="1:4" ht="17.25" customHeight="1">
      <c r="A5" s="43" t="s">
        <v>14</v>
      </c>
      <c r="B5" s="12">
        <v>270</v>
      </c>
      <c r="C5" s="12">
        <v>460</v>
      </c>
      <c r="D5" s="44">
        <v>190</v>
      </c>
    </row>
    <row r="6" spans="1:4" ht="17.25" customHeight="1">
      <c r="A6" s="43" t="s">
        <v>17</v>
      </c>
      <c r="B6" s="12">
        <v>190</v>
      </c>
      <c r="C6" s="12">
        <v>160</v>
      </c>
      <c r="D6" s="44">
        <v>250</v>
      </c>
    </row>
    <row r="7" spans="1:4" ht="17.25" customHeight="1">
      <c r="A7" s="43" t="s">
        <v>18</v>
      </c>
      <c r="B7" s="12">
        <v>145</v>
      </c>
      <c r="C7" s="12">
        <v>220</v>
      </c>
      <c r="D7" s="44">
        <v>300</v>
      </c>
    </row>
    <row r="8" spans="1:4" ht="17.25" customHeight="1">
      <c r="A8" s="43" t="s">
        <v>22</v>
      </c>
      <c r="B8" s="12">
        <v>310</v>
      </c>
      <c r="C8" s="12">
        <v>140</v>
      </c>
      <c r="D8" s="44">
        <v>160</v>
      </c>
    </row>
    <row r="9" spans="1:4" ht="17.25" customHeight="1">
      <c r="A9" s="43" t="s">
        <v>30</v>
      </c>
      <c r="B9" s="12">
        <v>150</v>
      </c>
      <c r="C9" s="12">
        <v>250</v>
      </c>
      <c r="D9" s="44">
        <v>210</v>
      </c>
    </row>
    <row r="10" spans="1:4" ht="17.25" customHeight="1">
      <c r="A10" s="43" t="s">
        <v>13</v>
      </c>
      <c r="B10" s="12">
        <v>140</v>
      </c>
      <c r="C10" s="12">
        <v>270</v>
      </c>
      <c r="D10" s="44">
        <v>205</v>
      </c>
    </row>
    <row r="11" spans="1:4" ht="17.25" customHeight="1">
      <c r="A11" s="43" t="s">
        <v>21</v>
      </c>
      <c r="B11" s="12">
        <v>290</v>
      </c>
      <c r="C11" s="12">
        <v>245</v>
      </c>
      <c r="D11" s="44">
        <v>180</v>
      </c>
    </row>
    <row r="12" spans="1:4" ht="17.25" customHeight="1">
      <c r="A12" s="43" t="s">
        <v>27</v>
      </c>
      <c r="B12" s="12"/>
      <c r="C12" s="12">
        <v>100</v>
      </c>
      <c r="D12" s="44">
        <v>220</v>
      </c>
    </row>
    <row r="13" spans="1:4" ht="17.25" customHeight="1">
      <c r="A13" s="43" t="s">
        <v>15</v>
      </c>
      <c r="B13" s="12">
        <v>190</v>
      </c>
      <c r="C13" s="12">
        <v>200</v>
      </c>
      <c r="D13" s="44">
        <v>120</v>
      </c>
    </row>
    <row r="14" spans="1:4" ht="17.25" customHeight="1">
      <c r="A14" s="43" t="s">
        <v>25</v>
      </c>
      <c r="B14" s="12">
        <v>165</v>
      </c>
      <c r="C14" s="12"/>
      <c r="D14" s="44">
        <v>130</v>
      </c>
    </row>
    <row r="15" spans="1:4" ht="17.25" customHeight="1">
      <c r="A15" s="43" t="s">
        <v>9</v>
      </c>
      <c r="B15" s="12">
        <v>200</v>
      </c>
      <c r="C15" s="12">
        <v>210</v>
      </c>
      <c r="D15" s="44">
        <v>175</v>
      </c>
    </row>
    <row r="16" spans="1:4" ht="17.25" customHeight="1">
      <c r="A16" s="43" t="s">
        <v>29</v>
      </c>
      <c r="B16" s="12">
        <v>180</v>
      </c>
      <c r="C16" s="12">
        <v>280</v>
      </c>
      <c r="D16" s="44">
        <v>265</v>
      </c>
    </row>
    <row r="17" spans="1:4" ht="17.25" customHeight="1">
      <c r="A17" s="43" t="s">
        <v>19</v>
      </c>
      <c r="B17" s="12">
        <v>210</v>
      </c>
      <c r="C17" s="12">
        <v>310</v>
      </c>
      <c r="D17" s="44">
        <v>215</v>
      </c>
    </row>
    <row r="18" spans="1:4" ht="17.25" customHeight="1">
      <c r="A18" s="43" t="s">
        <v>28</v>
      </c>
      <c r="B18" s="12">
        <v>215</v>
      </c>
      <c r="C18" s="12">
        <v>185</v>
      </c>
      <c r="D18" s="44">
        <v>140</v>
      </c>
    </row>
    <row r="19" spans="1:4" ht="17.25" customHeight="1">
      <c r="A19" s="43" t="s">
        <v>24</v>
      </c>
      <c r="B19" s="12">
        <v>200</v>
      </c>
      <c r="C19" s="12">
        <v>240</v>
      </c>
      <c r="D19" s="44">
        <v>170</v>
      </c>
    </row>
    <row r="20" spans="1:4" ht="17.25" customHeight="1">
      <c r="A20" s="43" t="s">
        <v>16</v>
      </c>
      <c r="B20" s="12">
        <v>340</v>
      </c>
      <c r="C20" s="12">
        <v>170</v>
      </c>
      <c r="D20" s="44">
        <v>150</v>
      </c>
    </row>
    <row r="21" spans="1:4" ht="17.25" customHeight="1">
      <c r="A21" s="45" t="s">
        <v>20</v>
      </c>
      <c r="B21" s="46">
        <v>110</v>
      </c>
      <c r="C21" s="46">
        <v>220</v>
      </c>
      <c r="D21" s="47">
        <v>180</v>
      </c>
    </row>
    <row r="22" spans="1:4" ht="14.25" customHeight="1"/>
    <row r="23" spans="1:4" ht="14.25" customHeight="1"/>
    <row r="24" spans="1:4" ht="14.25" customHeight="1"/>
    <row r="25" spans="1:4" ht="14.25" customHeight="1"/>
    <row r="26" spans="1:4" ht="14.25" customHeight="1"/>
    <row r="27" spans="1:4" ht="14.25" customHeight="1"/>
    <row r="28" spans="1:4" ht="14.25" customHeight="1"/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D4E04-1566-439D-8220-828BE9A5499B}">
  <dimension ref="A1:D21"/>
  <sheetViews>
    <sheetView zoomScale="110" zoomScaleNormal="110" workbookViewId="0">
      <selection activeCell="F8" sqref="F8"/>
    </sheetView>
  </sheetViews>
  <sheetFormatPr defaultRowHeight="14.4"/>
  <sheetData>
    <row r="1" spans="1:4">
      <c r="B1" t="s">
        <v>3</v>
      </c>
      <c r="C1" t="s">
        <v>4</v>
      </c>
      <c r="D1" t="s">
        <v>5</v>
      </c>
    </row>
    <row r="2" spans="1:4">
      <c r="A2" t="s">
        <v>8</v>
      </c>
      <c r="B2" s="52">
        <v>725</v>
      </c>
      <c r="C2" s="52">
        <v>655</v>
      </c>
      <c r="D2" s="52">
        <v>730</v>
      </c>
    </row>
    <row r="3" spans="1:4">
      <c r="A3" t="s">
        <v>13</v>
      </c>
      <c r="B3" s="52">
        <v>545</v>
      </c>
      <c r="C3" s="52">
        <v>725</v>
      </c>
      <c r="D3" s="52">
        <v>600</v>
      </c>
    </row>
    <row r="4" spans="1:4">
      <c r="A4" t="s">
        <v>14</v>
      </c>
      <c r="B4" s="52">
        <v>690</v>
      </c>
      <c r="C4" s="52">
        <v>460</v>
      </c>
      <c r="D4" s="52">
        <v>750</v>
      </c>
    </row>
    <row r="5" spans="1:4">
      <c r="A5" t="s">
        <v>15</v>
      </c>
      <c r="B5" s="52">
        <v>590</v>
      </c>
      <c r="C5" s="52">
        <v>555</v>
      </c>
      <c r="D5" s="52">
        <v>280</v>
      </c>
    </row>
    <row r="6" spans="1:4">
      <c r="A6" t="s">
        <v>16</v>
      </c>
      <c r="B6" s="52">
        <v>730</v>
      </c>
      <c r="C6" s="52">
        <v>720</v>
      </c>
      <c r="D6" s="52">
        <v>585</v>
      </c>
    </row>
    <row r="7" spans="1:4">
      <c r="A7" t="s">
        <v>17</v>
      </c>
      <c r="B7" s="52">
        <v>710</v>
      </c>
      <c r="C7" s="52">
        <v>575</v>
      </c>
      <c r="D7" s="52">
        <v>630</v>
      </c>
    </row>
    <row r="8" spans="1:4">
      <c r="A8" t="s">
        <v>18</v>
      </c>
      <c r="B8" s="52">
        <v>540</v>
      </c>
      <c r="C8" s="52">
        <v>680</v>
      </c>
      <c r="D8" s="52">
        <v>710</v>
      </c>
    </row>
    <row r="9" spans="1:4">
      <c r="A9" t="s">
        <v>19</v>
      </c>
      <c r="B9" s="52">
        <v>545</v>
      </c>
      <c r="C9" s="52">
        <v>665</v>
      </c>
      <c r="D9" s="52">
        <v>590</v>
      </c>
    </row>
    <row r="10" spans="1:4">
      <c r="A10" t="s">
        <v>21</v>
      </c>
      <c r="B10" s="52">
        <v>620</v>
      </c>
      <c r="C10" s="52">
        <v>665</v>
      </c>
      <c r="D10" s="52">
        <v>490</v>
      </c>
    </row>
    <row r="11" spans="1:4">
      <c r="A11" t="s">
        <v>22</v>
      </c>
      <c r="B11" s="52">
        <v>610</v>
      </c>
      <c r="C11" s="52">
        <v>355</v>
      </c>
      <c r="D11" s="52">
        <v>540</v>
      </c>
    </row>
    <row r="12" spans="1:4">
      <c r="A12" t="s">
        <v>24</v>
      </c>
      <c r="B12" s="52">
        <v>580</v>
      </c>
      <c r="C12" s="52">
        <v>675</v>
      </c>
      <c r="D12" s="52">
        <v>560</v>
      </c>
    </row>
    <row r="13" spans="1:4">
      <c r="A13" t="s">
        <v>26</v>
      </c>
      <c r="B13" s="52">
        <v>530</v>
      </c>
      <c r="C13" s="52">
        <v>605</v>
      </c>
      <c r="D13" s="52">
        <v>615</v>
      </c>
    </row>
    <row r="14" spans="1:4">
      <c r="A14" t="s">
        <v>28</v>
      </c>
      <c r="B14" s="52">
        <v>615</v>
      </c>
      <c r="C14" s="52">
        <v>785</v>
      </c>
      <c r="D14" s="52">
        <v>625</v>
      </c>
    </row>
    <row r="15" spans="1:4">
      <c r="A15" t="s">
        <v>30</v>
      </c>
      <c r="B15" s="52">
        <v>600</v>
      </c>
      <c r="C15" s="52">
        <v>600</v>
      </c>
      <c r="D15" s="52">
        <v>570</v>
      </c>
    </row>
    <row r="16" spans="1:4">
      <c r="A16" t="s">
        <v>29</v>
      </c>
      <c r="B16" s="52">
        <v>545</v>
      </c>
      <c r="C16" s="52">
        <v>605</v>
      </c>
      <c r="D16" s="52">
        <v>600</v>
      </c>
    </row>
    <row r="17" spans="1:4">
      <c r="A17" t="s">
        <v>27</v>
      </c>
      <c r="B17" s="52">
        <v>320</v>
      </c>
      <c r="C17" s="52">
        <v>620</v>
      </c>
      <c r="D17" s="52">
        <v>650</v>
      </c>
    </row>
    <row r="18" spans="1:4">
      <c r="A18" t="s">
        <v>25</v>
      </c>
      <c r="B18" s="52">
        <v>505</v>
      </c>
      <c r="C18" s="52">
        <v>435</v>
      </c>
      <c r="D18" s="52">
        <v>270</v>
      </c>
    </row>
    <row r="19" spans="1:4">
      <c r="A19" t="s">
        <v>23</v>
      </c>
      <c r="B19" s="52">
        <v>665</v>
      </c>
      <c r="C19" s="52">
        <v>780</v>
      </c>
      <c r="D19" s="52">
        <v>670</v>
      </c>
    </row>
    <row r="20" spans="1:4">
      <c r="A20" t="s">
        <v>20</v>
      </c>
      <c r="B20" s="52">
        <v>515</v>
      </c>
      <c r="C20" s="52">
        <v>755</v>
      </c>
      <c r="D20" s="52">
        <v>605</v>
      </c>
    </row>
    <row r="21" spans="1:4">
      <c r="A21" t="s">
        <v>9</v>
      </c>
      <c r="B21" s="52">
        <v>505</v>
      </c>
      <c r="C21" s="52">
        <v>585</v>
      </c>
      <c r="D21" s="52">
        <v>550</v>
      </c>
    </row>
  </sheetData>
  <dataConsolidate leftLabels="1" topLabels="1">
    <dataRefs count="3">
      <dataRef ref="G1:J21" sheet="Report 1"/>
      <dataRef ref="F3:I23" sheet="Report 2"/>
      <dataRef ref="A1:D21" sheet="Report 3"/>
    </dataRefs>
  </dataConsolid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3FE78-D3D8-4801-A15D-328C312EE8DC}">
  <dimension ref="B4:F84"/>
  <sheetViews>
    <sheetView tabSelected="1" zoomScale="110" zoomScaleNormal="110" workbookViewId="0">
      <selection activeCell="K24" sqref="K24"/>
    </sheetView>
  </sheetViews>
  <sheetFormatPr defaultRowHeight="14.4" outlineLevelRow="1"/>
  <cols>
    <col min="2" max="2" width="2.21875" customWidth="1"/>
    <col min="3" max="3" width="6.6640625" customWidth="1"/>
  </cols>
  <sheetData>
    <row r="4" spans="2:6">
      <c r="D4" t="s">
        <v>3</v>
      </c>
      <c r="E4" t="s">
        <v>4</v>
      </c>
      <c r="F4" t="s">
        <v>5</v>
      </c>
    </row>
    <row r="5" spans="2:6" outlineLevel="1">
      <c r="C5" t="s">
        <v>48</v>
      </c>
      <c r="D5" s="52">
        <f>'Report 1'!$H$2</f>
        <v>434</v>
      </c>
      <c r="E5" s="52">
        <f>'Report 1'!$I$2</f>
        <v>310</v>
      </c>
      <c r="F5" s="52">
        <f>'Report 1'!$J$2</f>
        <v>170</v>
      </c>
    </row>
    <row r="6" spans="2:6" outlineLevel="1" collapsed="1">
      <c r="C6" t="s">
        <v>48</v>
      </c>
      <c r="D6" s="52">
        <f>'Report 2'!$G$23</f>
        <v>170</v>
      </c>
      <c r="E6" s="52">
        <f>'Report 2'!$H$23</f>
        <v>185</v>
      </c>
      <c r="F6" s="52">
        <f>'Report 2'!$I$23</f>
        <v>300</v>
      </c>
    </row>
    <row r="7" spans="2:6" outlineLevel="1" collapsed="1">
      <c r="C7" t="s">
        <v>48</v>
      </c>
      <c r="D7" s="52">
        <f>'Report 3'!$B$3</f>
        <v>155</v>
      </c>
      <c r="E7" s="52">
        <f>'Report 3'!$C$3</f>
        <v>160</v>
      </c>
      <c r="F7" s="52">
        <f>'Report 3'!$D$3</f>
        <v>260</v>
      </c>
    </row>
    <row r="8" spans="2:6">
      <c r="B8" t="s">
        <v>8</v>
      </c>
      <c r="D8" s="52">
        <f>SUM(D5:D7)</f>
        <v>759</v>
      </c>
      <c r="E8" s="52">
        <f>SUM(E5:E7)</f>
        <v>655</v>
      </c>
      <c r="F8" s="52">
        <f>SUM(F5:F7)</f>
        <v>730</v>
      </c>
    </row>
    <row r="9" spans="2:6" outlineLevel="1">
      <c r="C9" t="s">
        <v>48</v>
      </c>
      <c r="D9" s="52">
        <f>'Report 1'!$H$3</f>
        <v>170</v>
      </c>
      <c r="E9" s="52">
        <f>'Report 1'!$I$3</f>
        <v>250</v>
      </c>
      <c r="F9" s="52">
        <f>'Report 1'!$J$3</f>
        <v>220</v>
      </c>
    </row>
    <row r="10" spans="2:6" outlineLevel="1" collapsed="1">
      <c r="C10" t="s">
        <v>48</v>
      </c>
      <c r="D10" s="52">
        <f>'Report 2'!$G$22</f>
        <v>235</v>
      </c>
      <c r="E10" s="52">
        <f>'Report 2'!$H$22</f>
        <v>205</v>
      </c>
      <c r="F10" s="52">
        <f>'Report 2'!$I$22</f>
        <v>175</v>
      </c>
    </row>
    <row r="11" spans="2:6" outlineLevel="1" collapsed="1">
      <c r="C11" t="s">
        <v>48</v>
      </c>
      <c r="D11" s="52">
        <f>'Report 3'!$B$10</f>
        <v>140</v>
      </c>
      <c r="E11" s="52">
        <f>'Report 3'!$C$10</f>
        <v>270</v>
      </c>
      <c r="F11" s="52">
        <f>'Report 3'!$D$10</f>
        <v>205</v>
      </c>
    </row>
    <row r="12" spans="2:6">
      <c r="B12" t="s">
        <v>13</v>
      </c>
      <c r="D12" s="52">
        <f>SUM(D9:D11)</f>
        <v>545</v>
      </c>
      <c r="E12" s="52">
        <f>SUM(E9:E11)</f>
        <v>725</v>
      </c>
      <c r="F12" s="52">
        <f>SUM(F9:F11)</f>
        <v>600</v>
      </c>
    </row>
    <row r="13" spans="2:6" outlineLevel="1">
      <c r="C13" t="s">
        <v>48</v>
      </c>
      <c r="D13" s="52">
        <f>'Report 1'!$H$4</f>
        <v>110</v>
      </c>
      <c r="F13" s="52">
        <f>'Report 1'!$J$4</f>
        <v>340</v>
      </c>
    </row>
    <row r="14" spans="2:6" outlineLevel="1" collapsed="1">
      <c r="C14" t="s">
        <v>48</v>
      </c>
      <c r="D14" s="52">
        <f>'Report 2'!$G$21</f>
        <v>310</v>
      </c>
      <c r="F14" s="52">
        <f>'Report 2'!$I$21</f>
        <v>220</v>
      </c>
    </row>
    <row r="15" spans="2:6" outlineLevel="1" collapsed="1">
      <c r="C15" t="s">
        <v>48</v>
      </c>
      <c r="D15" s="52">
        <f>'Report 3'!$B$5</f>
        <v>270</v>
      </c>
      <c r="E15" s="52">
        <f>'Report 3'!$C$5</f>
        <v>460</v>
      </c>
      <c r="F15" s="52">
        <f>'Report 3'!$D$5</f>
        <v>190</v>
      </c>
    </row>
    <row r="16" spans="2:6">
      <c r="B16" t="s">
        <v>14</v>
      </c>
      <c r="D16" s="52">
        <f>SUM(D13:D15)</f>
        <v>690</v>
      </c>
      <c r="E16" s="52">
        <f>SUM(E13:E15)</f>
        <v>460</v>
      </c>
      <c r="F16" s="52">
        <f>SUM(F13:F15)</f>
        <v>750</v>
      </c>
    </row>
    <row r="17" spans="2:6" outlineLevel="1">
      <c r="C17" t="s">
        <v>48</v>
      </c>
      <c r="D17" s="52">
        <f>'Report 1'!$H$5</f>
        <v>120</v>
      </c>
      <c r="E17" s="52">
        <f>'Report 1'!$I$5</f>
        <v>180</v>
      </c>
      <c r="F17" s="52">
        <f>'Report 1'!$J$5</f>
        <v>160</v>
      </c>
    </row>
    <row r="18" spans="2:6" outlineLevel="1" collapsed="1">
      <c r="C18" t="s">
        <v>48</v>
      </c>
      <c r="D18" s="52">
        <f>'Report 2'!$G$20</f>
        <v>280</v>
      </c>
      <c r="E18" s="52">
        <f>'Report 2'!$H$20</f>
        <v>175</v>
      </c>
    </row>
    <row r="19" spans="2:6" outlineLevel="1" collapsed="1">
      <c r="C19" t="s">
        <v>48</v>
      </c>
      <c r="D19" s="52">
        <f>'Report 3'!$B$13</f>
        <v>190</v>
      </c>
      <c r="E19" s="52">
        <f>'Report 3'!$C$13</f>
        <v>200</v>
      </c>
      <c r="F19" s="52">
        <f>'Report 3'!$D$13</f>
        <v>120</v>
      </c>
    </row>
    <row r="20" spans="2:6">
      <c r="B20" t="s">
        <v>15</v>
      </c>
      <c r="D20" s="52">
        <f>SUM(D17:D19)</f>
        <v>590</v>
      </c>
      <c r="E20" s="52">
        <f>SUM(E17:E19)</f>
        <v>555</v>
      </c>
      <c r="F20" s="52">
        <f>SUM(F17:F19)</f>
        <v>280</v>
      </c>
    </row>
    <row r="21" spans="2:6" outlineLevel="1">
      <c r="C21" t="s">
        <v>48</v>
      </c>
      <c r="D21" s="52">
        <f>'Report 1'!$H$6</f>
        <v>210</v>
      </c>
      <c r="E21" s="52">
        <f>'Report 1'!$I$6</f>
        <v>300</v>
      </c>
      <c r="F21" s="52">
        <f>'Report 1'!$J$6</f>
        <v>270</v>
      </c>
    </row>
    <row r="22" spans="2:6" outlineLevel="1" collapsed="1">
      <c r="C22" t="s">
        <v>48</v>
      </c>
      <c r="D22" s="52">
        <f>'Report 2'!$G$19</f>
        <v>180</v>
      </c>
      <c r="E22" s="52">
        <f>'Report 2'!$H$19</f>
        <v>250</v>
      </c>
      <c r="F22" s="52">
        <f>'Report 2'!$I$19</f>
        <v>165</v>
      </c>
    </row>
    <row r="23" spans="2:6" outlineLevel="1" collapsed="1">
      <c r="C23" t="s">
        <v>48</v>
      </c>
      <c r="D23" s="52">
        <f>'Report 3'!$B$20</f>
        <v>340</v>
      </c>
      <c r="E23" s="52">
        <f>'Report 3'!$C$20</f>
        <v>170</v>
      </c>
      <c r="F23" s="52">
        <f>'Report 3'!$D$20</f>
        <v>150</v>
      </c>
    </row>
    <row r="24" spans="2:6">
      <c r="B24" t="s">
        <v>16</v>
      </c>
      <c r="D24" s="52">
        <f>SUM(D21:D23)</f>
        <v>730</v>
      </c>
      <c r="E24" s="52">
        <f>SUM(E21:E23)</f>
        <v>720</v>
      </c>
      <c r="F24" s="52">
        <f>SUM(F21:F23)</f>
        <v>585</v>
      </c>
    </row>
    <row r="25" spans="2:6" outlineLevel="1">
      <c r="C25" t="s">
        <v>48</v>
      </c>
      <c r="D25" s="52">
        <f>'Report 1'!$H$7</f>
        <v>180</v>
      </c>
      <c r="E25" s="52">
        <f>'Report 1'!$I$7</f>
        <v>260</v>
      </c>
      <c r="F25" s="52">
        <f>'Report 1'!$J$7</f>
        <v>210</v>
      </c>
    </row>
    <row r="26" spans="2:6" outlineLevel="1" collapsed="1">
      <c r="C26" t="s">
        <v>48</v>
      </c>
      <c r="D26" s="52">
        <f>'Report 2'!$G$18</f>
        <v>340</v>
      </c>
      <c r="E26" s="52">
        <f>'Report 2'!$H$18</f>
        <v>155</v>
      </c>
      <c r="F26" s="52">
        <f>'Report 2'!$I$18</f>
        <v>170</v>
      </c>
    </row>
    <row r="27" spans="2:6" outlineLevel="1" collapsed="1">
      <c r="C27" t="s">
        <v>48</v>
      </c>
      <c r="D27" s="52">
        <f>'Report 3'!$B$6</f>
        <v>190</v>
      </c>
      <c r="E27" s="52">
        <f>'Report 3'!$C$6</f>
        <v>160</v>
      </c>
      <c r="F27" s="52">
        <f>'Report 3'!$D$6</f>
        <v>250</v>
      </c>
    </row>
    <row r="28" spans="2:6">
      <c r="B28" t="s">
        <v>17</v>
      </c>
      <c r="D28" s="52">
        <f>SUM(D25:D27)</f>
        <v>710</v>
      </c>
      <c r="E28" s="52">
        <f>SUM(E25:E27)</f>
        <v>575</v>
      </c>
      <c r="F28" s="52">
        <f>SUM(F25:F27)</f>
        <v>630</v>
      </c>
    </row>
    <row r="29" spans="2:6" outlineLevel="1">
      <c r="C29" t="s">
        <v>48</v>
      </c>
      <c r="D29" s="52">
        <f>'Report 1'!$H$8</f>
        <v>130</v>
      </c>
      <c r="E29" s="52">
        <f>'Report 1'!$I$8</f>
        <v>190</v>
      </c>
      <c r="F29" s="52">
        <f>'Report 1'!$J$8</f>
        <v>150</v>
      </c>
    </row>
    <row r="30" spans="2:6" outlineLevel="1" collapsed="1">
      <c r="C30" t="s">
        <v>48</v>
      </c>
      <c r="D30" s="52">
        <f>'Report 2'!$G$17</f>
        <v>265</v>
      </c>
      <c r="E30" s="52">
        <f>'Report 2'!$H$17</f>
        <v>270</v>
      </c>
      <c r="F30" s="52">
        <f>'Report 2'!$I$17</f>
        <v>260</v>
      </c>
    </row>
    <row r="31" spans="2:6" outlineLevel="1" collapsed="1">
      <c r="C31" t="s">
        <v>48</v>
      </c>
      <c r="D31" s="52">
        <f>'Report 3'!$B$7</f>
        <v>145</v>
      </c>
      <c r="E31" s="52">
        <f>'Report 3'!$C$7</f>
        <v>220</v>
      </c>
      <c r="F31" s="52">
        <f>'Report 3'!$D$7</f>
        <v>300</v>
      </c>
    </row>
    <row r="32" spans="2:6">
      <c r="B32" t="s">
        <v>18</v>
      </c>
      <c r="D32" s="52">
        <f>SUM(D29:D31)</f>
        <v>540</v>
      </c>
      <c r="E32" s="52">
        <f>SUM(E29:E31)</f>
        <v>680</v>
      </c>
      <c r="F32" s="52">
        <f>SUM(F29:F31)</f>
        <v>710</v>
      </c>
    </row>
    <row r="33" spans="2:6" outlineLevel="1">
      <c r="C33" t="s">
        <v>48</v>
      </c>
      <c r="D33" s="52">
        <f>'Report 1'!$H$9</f>
        <v>175</v>
      </c>
      <c r="E33" s="52">
        <f>'Report 1'!$I$9</f>
        <v>245</v>
      </c>
      <c r="F33" s="52">
        <f>'Report 1'!$J$9</f>
        <v>215</v>
      </c>
    </row>
    <row r="34" spans="2:6" outlineLevel="1" collapsed="1">
      <c r="C34" t="s">
        <v>48</v>
      </c>
      <c r="D34" s="52">
        <f>'Report 2'!$G$16</f>
        <v>160</v>
      </c>
      <c r="E34" s="52">
        <f>'Report 2'!$H$16</f>
        <v>110</v>
      </c>
      <c r="F34" s="52">
        <f>'Report 2'!$I$16</f>
        <v>160</v>
      </c>
    </row>
    <row r="35" spans="2:6" outlineLevel="1" collapsed="1">
      <c r="C35" t="s">
        <v>48</v>
      </c>
      <c r="D35" s="52">
        <f>'Report 3'!$B$17</f>
        <v>210</v>
      </c>
      <c r="E35" s="52">
        <f>'Report 3'!$C$17</f>
        <v>310</v>
      </c>
      <c r="F35" s="52">
        <f>'Report 3'!$D$17</f>
        <v>215</v>
      </c>
    </row>
    <row r="36" spans="2:6">
      <c r="B36" t="s">
        <v>19</v>
      </c>
      <c r="D36" s="52">
        <f>SUM(D33:D35)</f>
        <v>545</v>
      </c>
      <c r="E36" s="52">
        <f>SUM(E33:E35)</f>
        <v>665</v>
      </c>
      <c r="F36" s="52">
        <f>SUM(F33:F35)</f>
        <v>590</v>
      </c>
    </row>
    <row r="37" spans="2:6" outlineLevel="1">
      <c r="C37" t="s">
        <v>48</v>
      </c>
      <c r="D37" s="52">
        <f>'Report 1'!$H$10</f>
        <v>150</v>
      </c>
      <c r="E37" s="52">
        <f>'Report 1'!$I$10</f>
        <v>210</v>
      </c>
      <c r="F37" s="52">
        <f>'Report 1'!$J$10</f>
        <v>190</v>
      </c>
    </row>
    <row r="38" spans="2:6" outlineLevel="1" collapsed="1">
      <c r="C38" t="s">
        <v>48</v>
      </c>
      <c r="D38" s="52">
        <f>'Report 2'!$G$15</f>
        <v>180</v>
      </c>
      <c r="E38" s="52">
        <f>'Report 2'!$H$15</f>
        <v>210</v>
      </c>
      <c r="F38" s="52">
        <f>'Report 2'!$I$15</f>
        <v>120</v>
      </c>
    </row>
    <row r="39" spans="2:6" outlineLevel="1" collapsed="1">
      <c r="C39" t="s">
        <v>48</v>
      </c>
      <c r="D39" s="52">
        <f>'Report 3'!$B$11</f>
        <v>290</v>
      </c>
      <c r="E39" s="52">
        <f>'Report 3'!$C$11</f>
        <v>245</v>
      </c>
      <c r="F39" s="52">
        <f>'Report 3'!$D$11</f>
        <v>180</v>
      </c>
    </row>
    <row r="40" spans="2:6">
      <c r="B40" t="s">
        <v>21</v>
      </c>
      <c r="D40" s="52">
        <f>SUM(D37:D39)</f>
        <v>620</v>
      </c>
      <c r="E40" s="52">
        <f>SUM(E37:E39)</f>
        <v>665</v>
      </c>
      <c r="F40" s="52">
        <f>SUM(F37:F39)</f>
        <v>490</v>
      </c>
    </row>
    <row r="41" spans="2:6" outlineLevel="1">
      <c r="C41" t="s">
        <v>48</v>
      </c>
      <c r="D41" s="52">
        <f>'Report 1'!$H$11</f>
        <v>160</v>
      </c>
      <c r="F41" s="52">
        <f>'Report 1'!$J$11</f>
        <v>180</v>
      </c>
    </row>
    <row r="42" spans="2:6" outlineLevel="1" collapsed="1">
      <c r="C42" t="s">
        <v>48</v>
      </c>
      <c r="D42" s="52">
        <f>'Report 2'!$G$14</f>
        <v>140</v>
      </c>
      <c r="E42" s="52">
        <f>'Report 2'!$H$14</f>
        <v>215</v>
      </c>
      <c r="F42" s="52">
        <f>'Report 2'!$I$14</f>
        <v>200</v>
      </c>
    </row>
    <row r="43" spans="2:6" outlineLevel="1" collapsed="1">
      <c r="C43" t="s">
        <v>48</v>
      </c>
      <c r="D43" s="52">
        <f>'Report 3'!$B$8</f>
        <v>310</v>
      </c>
      <c r="E43" s="52">
        <f>'Report 3'!$C$8</f>
        <v>140</v>
      </c>
      <c r="F43" s="52">
        <f>'Report 3'!$D$8</f>
        <v>160</v>
      </c>
    </row>
    <row r="44" spans="2:6">
      <c r="B44" t="s">
        <v>22</v>
      </c>
      <c r="D44" s="52">
        <f>SUM(D41:D43)</f>
        <v>610</v>
      </c>
      <c r="E44" s="52">
        <f>SUM(E41:E43)</f>
        <v>355</v>
      </c>
      <c r="F44" s="52">
        <f>SUM(F41:F43)</f>
        <v>540</v>
      </c>
    </row>
    <row r="45" spans="2:6" outlineLevel="1">
      <c r="C45" t="s">
        <v>48</v>
      </c>
      <c r="D45" s="52">
        <f>'Report 1'!$H$12</f>
        <v>165</v>
      </c>
      <c r="E45" s="52">
        <f>'Report 1'!$I$12</f>
        <v>235</v>
      </c>
      <c r="F45" s="52">
        <f>'Report 1'!$J$12</f>
        <v>205</v>
      </c>
    </row>
    <row r="46" spans="2:6" outlineLevel="1" collapsed="1">
      <c r="C46" t="s">
        <v>48</v>
      </c>
      <c r="D46" s="52">
        <f>'Report 2'!$G$13</f>
        <v>215</v>
      </c>
      <c r="E46" s="52">
        <f>'Report 2'!$H$13</f>
        <v>200</v>
      </c>
      <c r="F46" s="52">
        <f>'Report 2'!$I$13</f>
        <v>185</v>
      </c>
    </row>
    <row r="47" spans="2:6" outlineLevel="1" collapsed="1">
      <c r="C47" t="s">
        <v>48</v>
      </c>
      <c r="D47" s="52">
        <f>'Report 3'!$B$19</f>
        <v>200</v>
      </c>
      <c r="E47" s="52">
        <f>'Report 3'!$C$19</f>
        <v>240</v>
      </c>
      <c r="F47" s="52">
        <f>'Report 3'!$D$19</f>
        <v>170</v>
      </c>
    </row>
    <row r="48" spans="2:6">
      <c r="B48" t="s">
        <v>24</v>
      </c>
      <c r="D48" s="52">
        <f>SUM(D45:D47)</f>
        <v>580</v>
      </c>
      <c r="E48" s="52">
        <f>SUM(E45:E47)</f>
        <v>675</v>
      </c>
      <c r="F48" s="52">
        <f>SUM(F45:F47)</f>
        <v>560</v>
      </c>
    </row>
    <row r="49" spans="2:6" outlineLevel="1">
      <c r="C49" t="s">
        <v>48</v>
      </c>
      <c r="D49" s="52">
        <f>'Report 1'!$H$13</f>
        <v>110</v>
      </c>
      <c r="E49" s="52">
        <f>'Report 1'!$I$13</f>
        <v>220</v>
      </c>
      <c r="F49" s="52">
        <f>'Report 1'!$J$13</f>
        <v>160</v>
      </c>
    </row>
    <row r="50" spans="2:6" outlineLevel="1" collapsed="1">
      <c r="C50" t="s">
        <v>48</v>
      </c>
      <c r="D50" s="52">
        <f>'Report 2'!$G$12</f>
        <v>100</v>
      </c>
      <c r="E50" s="52">
        <f>'Report 2'!$H$12</f>
        <v>210</v>
      </c>
      <c r="F50" s="52">
        <f>'Report 2'!$I$12</f>
        <v>220</v>
      </c>
    </row>
    <row r="51" spans="2:6" outlineLevel="1" collapsed="1">
      <c r="C51" t="s">
        <v>48</v>
      </c>
      <c r="D51" s="52">
        <f>'Report 3'!$B$4</f>
        <v>320</v>
      </c>
      <c r="E51" s="52">
        <f>'Report 3'!$C$4</f>
        <v>175</v>
      </c>
      <c r="F51" s="52">
        <f>'Report 3'!$D$4</f>
        <v>235</v>
      </c>
    </row>
    <row r="52" spans="2:6">
      <c r="B52" t="s">
        <v>26</v>
      </c>
      <c r="D52" s="52">
        <f>SUM(D49:D51)</f>
        <v>530</v>
      </c>
      <c r="E52" s="52">
        <f>SUM(E49:E51)</f>
        <v>605</v>
      </c>
      <c r="F52" s="52">
        <f>SUM(F49:F51)</f>
        <v>615</v>
      </c>
    </row>
    <row r="53" spans="2:6" outlineLevel="1">
      <c r="C53" t="s">
        <v>48</v>
      </c>
      <c r="D53" s="52">
        <f>'Report 1'!$H$14</f>
        <v>220</v>
      </c>
      <c r="E53" s="52">
        <f>'Report 1'!$I$14</f>
        <v>310</v>
      </c>
      <c r="F53" s="52">
        <f>'Report 1'!$J$14</f>
        <v>280</v>
      </c>
    </row>
    <row r="54" spans="2:6" outlineLevel="1" collapsed="1">
      <c r="C54" t="s">
        <v>48</v>
      </c>
      <c r="D54" s="52">
        <f>'Report 2'!$G$11</f>
        <v>180</v>
      </c>
      <c r="E54" s="52">
        <f>'Report 2'!$H$11</f>
        <v>290</v>
      </c>
      <c r="F54" s="52">
        <f>'Report 2'!$I$11</f>
        <v>205</v>
      </c>
    </row>
    <row r="55" spans="2:6" outlineLevel="1" collapsed="1">
      <c r="C55" t="s">
        <v>48</v>
      </c>
      <c r="D55" s="52">
        <f>'Report 3'!$B$18</f>
        <v>215</v>
      </c>
      <c r="E55" s="52">
        <f>'Report 3'!$C$18</f>
        <v>185</v>
      </c>
      <c r="F55" s="52">
        <f>'Report 3'!$D$18</f>
        <v>140</v>
      </c>
    </row>
    <row r="56" spans="2:6">
      <c r="B56" t="s">
        <v>28</v>
      </c>
      <c r="D56" s="52">
        <f>SUM(D53:D55)</f>
        <v>615</v>
      </c>
      <c r="E56" s="52">
        <f>SUM(E53:E55)</f>
        <v>785</v>
      </c>
      <c r="F56" s="52">
        <f>SUM(F53:F55)</f>
        <v>625</v>
      </c>
    </row>
    <row r="57" spans="2:6" outlineLevel="1">
      <c r="C57" t="s">
        <v>48</v>
      </c>
      <c r="D57" s="52">
        <f>'Report 1'!$H$15</f>
        <v>140</v>
      </c>
      <c r="E57" s="52">
        <f>'Report 1'!$I$15</f>
        <v>200</v>
      </c>
      <c r="F57" s="52">
        <f>'Report 1'!$J$15</f>
        <v>170</v>
      </c>
    </row>
    <row r="58" spans="2:6" outlineLevel="1" collapsed="1">
      <c r="C58" t="s">
        <v>48</v>
      </c>
      <c r="D58" s="52">
        <f>'Report 2'!$G$10</f>
        <v>310</v>
      </c>
      <c r="E58" s="52">
        <f>'Report 2'!$H$10</f>
        <v>150</v>
      </c>
      <c r="F58" s="52">
        <f>'Report 2'!$I$10</f>
        <v>190</v>
      </c>
    </row>
    <row r="59" spans="2:6" outlineLevel="1" collapsed="1">
      <c r="C59" t="s">
        <v>48</v>
      </c>
      <c r="D59" s="52">
        <f>'Report 3'!$B$9</f>
        <v>150</v>
      </c>
      <c r="E59" s="52">
        <f>'Report 3'!$C$9</f>
        <v>250</v>
      </c>
      <c r="F59" s="52">
        <f>'Report 3'!$D$9</f>
        <v>210</v>
      </c>
    </row>
    <row r="60" spans="2:6">
      <c r="B60" t="s">
        <v>30</v>
      </c>
      <c r="D60" s="52">
        <f>SUM(D57:D59)</f>
        <v>600</v>
      </c>
      <c r="E60" s="52">
        <f>SUM(E57:E59)</f>
        <v>600</v>
      </c>
      <c r="F60" s="52">
        <f>SUM(F57:F59)</f>
        <v>570</v>
      </c>
    </row>
    <row r="61" spans="2:6" outlineLevel="1">
      <c r="C61" t="s">
        <v>48</v>
      </c>
      <c r="D61" s="52">
        <f>'Report 1'!$H$16</f>
        <v>155</v>
      </c>
      <c r="E61" s="52">
        <f>'Report 1'!$I$16</f>
        <v>215</v>
      </c>
      <c r="F61" s="52">
        <f>'Report 1'!$J$16</f>
        <v>185</v>
      </c>
    </row>
    <row r="62" spans="2:6" outlineLevel="1" collapsed="1">
      <c r="C62" t="s">
        <v>48</v>
      </c>
      <c r="D62" s="52">
        <f>'Report 2'!$G$9</f>
        <v>210</v>
      </c>
      <c r="E62" s="52">
        <f>'Report 2'!$H$9</f>
        <v>110</v>
      </c>
      <c r="F62" s="52">
        <f>'Report 2'!$I$9</f>
        <v>150</v>
      </c>
    </row>
    <row r="63" spans="2:6" outlineLevel="1" collapsed="1">
      <c r="C63" t="s">
        <v>48</v>
      </c>
      <c r="D63" s="52">
        <f>'Report 3'!$B$16</f>
        <v>180</v>
      </c>
      <c r="E63" s="52">
        <f>'Report 3'!$C$16</f>
        <v>280</v>
      </c>
      <c r="F63" s="52">
        <f>'Report 3'!$D$16</f>
        <v>265</v>
      </c>
    </row>
    <row r="64" spans="2:6">
      <c r="B64" t="s">
        <v>29</v>
      </c>
      <c r="D64" s="52">
        <f>SUM(D61:D63)</f>
        <v>545</v>
      </c>
      <c r="E64" s="52">
        <f>SUM(E61:E63)</f>
        <v>605</v>
      </c>
      <c r="F64" s="52">
        <f>SUM(F61:F63)</f>
        <v>600</v>
      </c>
    </row>
    <row r="65" spans="2:6" outlineLevel="1">
      <c r="C65" t="s">
        <v>48</v>
      </c>
      <c r="D65" s="52">
        <f>'Report 1'!$H$17</f>
        <v>190</v>
      </c>
      <c r="E65" s="52">
        <f>'Report 1'!$I$17</f>
        <v>270</v>
      </c>
      <c r="F65" s="52">
        <f>'Report 1'!$J$17</f>
        <v>240</v>
      </c>
    </row>
    <row r="66" spans="2:6" outlineLevel="1" collapsed="1">
      <c r="C66" t="s">
        <v>48</v>
      </c>
      <c r="D66" s="52">
        <f>'Report 2'!$G$8</f>
        <v>130</v>
      </c>
      <c r="E66" s="52">
        <f>'Report 2'!$H$8</f>
        <v>250</v>
      </c>
      <c r="F66" s="52">
        <f>'Report 2'!$I$8</f>
        <v>190</v>
      </c>
    </row>
    <row r="67" spans="2:6" outlineLevel="1" collapsed="1">
      <c r="C67" t="s">
        <v>48</v>
      </c>
      <c r="E67" s="52">
        <f>'Report 3'!$C$12</f>
        <v>100</v>
      </c>
      <c r="F67" s="52">
        <f>'Report 3'!$D$12</f>
        <v>220</v>
      </c>
    </row>
    <row r="68" spans="2:6">
      <c r="B68" t="s">
        <v>27</v>
      </c>
      <c r="D68" s="52">
        <f>SUM(D65:D67)</f>
        <v>320</v>
      </c>
      <c r="E68" s="52">
        <f>SUM(E65:E67)</f>
        <v>620</v>
      </c>
      <c r="F68" s="52">
        <f>SUM(F65:F67)</f>
        <v>650</v>
      </c>
    </row>
    <row r="69" spans="2:6" outlineLevel="1">
      <c r="C69" t="s">
        <v>48</v>
      </c>
      <c r="D69" s="52">
        <f>'Report 1'!$H$18</f>
        <v>200</v>
      </c>
      <c r="E69" s="52">
        <f>'Report 1'!$I$18</f>
        <v>290</v>
      </c>
    </row>
    <row r="70" spans="2:6" outlineLevel="1" collapsed="1">
      <c r="C70" t="s">
        <v>48</v>
      </c>
      <c r="D70" s="52">
        <f>'Report 2'!$G$7</f>
        <v>140</v>
      </c>
      <c r="E70" s="52">
        <f>'Report 2'!$H$7</f>
        <v>145</v>
      </c>
      <c r="F70" s="52">
        <f>'Report 2'!$I$7</f>
        <v>140</v>
      </c>
    </row>
    <row r="71" spans="2:6" outlineLevel="1" collapsed="1">
      <c r="C71" t="s">
        <v>48</v>
      </c>
      <c r="D71" s="52">
        <f>'Report 3'!$B$14</f>
        <v>165</v>
      </c>
      <c r="F71" s="52">
        <f>'Report 3'!$D$14</f>
        <v>130</v>
      </c>
    </row>
    <row r="72" spans="2:6">
      <c r="B72" t="s">
        <v>25</v>
      </c>
      <c r="D72" s="52">
        <f>SUM(D69:D71)</f>
        <v>505</v>
      </c>
      <c r="E72" s="52">
        <f>SUM(E69:E71)</f>
        <v>435</v>
      </c>
      <c r="F72" s="52">
        <f>SUM(F69:F71)</f>
        <v>270</v>
      </c>
    </row>
    <row r="73" spans="2:6" outlineLevel="1">
      <c r="C73" t="s">
        <v>48</v>
      </c>
      <c r="D73" s="52">
        <f>'Report 1'!$H$19</f>
        <v>250</v>
      </c>
      <c r="E73" s="52">
        <f>'Report 1'!$I$19</f>
        <v>140</v>
      </c>
      <c r="F73" s="52">
        <f>'Report 1'!$J$19</f>
        <v>200</v>
      </c>
    </row>
    <row r="74" spans="2:6" outlineLevel="1" collapsed="1">
      <c r="C74" t="s">
        <v>48</v>
      </c>
      <c r="D74" s="52">
        <f>'Report 2'!$G$6</f>
        <v>245</v>
      </c>
      <c r="E74" s="52">
        <f>'Report 2'!$H$6</f>
        <v>240</v>
      </c>
      <c r="F74" s="52">
        <f>'Report 2'!$I$6</f>
        <v>235</v>
      </c>
    </row>
    <row r="75" spans="2:6" outlineLevel="1" collapsed="1">
      <c r="C75" t="s">
        <v>48</v>
      </c>
      <c r="D75" s="52">
        <f>'Report 3'!$B$2</f>
        <v>190</v>
      </c>
      <c r="E75" s="52">
        <f>'Report 3'!$C$2</f>
        <v>400</v>
      </c>
      <c r="F75" s="52">
        <f>'Report 3'!$D$2</f>
        <v>250</v>
      </c>
    </row>
    <row r="76" spans="2:6">
      <c r="B76" t="s">
        <v>23</v>
      </c>
      <c r="D76" s="52">
        <f>SUM(D73:D75)</f>
        <v>685</v>
      </c>
      <c r="E76" s="52">
        <f>SUM(E73:E75)</f>
        <v>780</v>
      </c>
      <c r="F76" s="52">
        <f>SUM(F73:F75)</f>
        <v>685</v>
      </c>
    </row>
    <row r="77" spans="2:6" outlineLevel="1">
      <c r="C77" t="s">
        <v>48</v>
      </c>
      <c r="D77" s="52">
        <f>'Report 1'!$H$20</f>
        <v>185</v>
      </c>
      <c r="E77" s="52">
        <f>'Report 1'!$I$20</f>
        <v>265</v>
      </c>
      <c r="F77" s="52">
        <f>'Report 1'!$J$20</f>
        <v>235</v>
      </c>
    </row>
    <row r="78" spans="2:6" outlineLevel="1" collapsed="1">
      <c r="C78" t="s">
        <v>48</v>
      </c>
      <c r="D78" s="52">
        <f>'Report 2'!$G$5</f>
        <v>220</v>
      </c>
      <c r="E78" s="52">
        <f>'Report 2'!$H$5</f>
        <v>270</v>
      </c>
      <c r="F78" s="52">
        <f>'Report 2'!$I$5</f>
        <v>190</v>
      </c>
    </row>
    <row r="79" spans="2:6" outlineLevel="1" collapsed="1">
      <c r="C79" t="s">
        <v>48</v>
      </c>
      <c r="D79" s="52">
        <f>'Report 3'!$B$21</f>
        <v>110</v>
      </c>
      <c r="E79" s="52">
        <f>'Report 3'!$C$21</f>
        <v>220</v>
      </c>
      <c r="F79" s="52">
        <f>'Report 3'!$D$21</f>
        <v>180</v>
      </c>
    </row>
    <row r="80" spans="2:6">
      <c r="B80" t="s">
        <v>20</v>
      </c>
      <c r="D80" s="52">
        <f>SUM(D77:D79)</f>
        <v>515</v>
      </c>
      <c r="E80" s="52">
        <f>SUM(E77:E79)</f>
        <v>755</v>
      </c>
      <c r="F80" s="52">
        <f>SUM(F77:F79)</f>
        <v>605</v>
      </c>
    </row>
    <row r="81" spans="2:6" outlineLevel="1">
      <c r="C81" t="s">
        <v>48</v>
      </c>
      <c r="D81" s="52">
        <f>'Report 1'!$H$21</f>
        <v>145</v>
      </c>
      <c r="E81" s="52">
        <f>'Report 1'!$I$21</f>
        <v>205</v>
      </c>
      <c r="F81" s="52">
        <f>'Report 1'!$J$21</f>
        <v>175</v>
      </c>
    </row>
    <row r="82" spans="2:6" outlineLevel="1" collapsed="1">
      <c r="C82" t="s">
        <v>48</v>
      </c>
      <c r="D82" s="52">
        <f>'Report 2'!$G$4</f>
        <v>160</v>
      </c>
      <c r="E82" s="52">
        <f>'Report 2'!$H$4</f>
        <v>170</v>
      </c>
      <c r="F82" s="52">
        <f>'Report 2'!$I$4</f>
        <v>200</v>
      </c>
    </row>
    <row r="83" spans="2:6" outlineLevel="1" collapsed="1">
      <c r="C83" t="s">
        <v>48</v>
      </c>
      <c r="D83" s="52">
        <f>'Report 3'!$B$15</f>
        <v>200</v>
      </c>
      <c r="E83" s="52">
        <f>'Report 3'!$C$15</f>
        <v>210</v>
      </c>
      <c r="F83" s="52">
        <f>'Report 3'!$D$15</f>
        <v>175</v>
      </c>
    </row>
    <row r="84" spans="2:6">
      <c r="B84" t="s">
        <v>9</v>
      </c>
      <c r="D84" s="52">
        <f>SUM(D81:D83)</f>
        <v>505</v>
      </c>
      <c r="E84" s="52">
        <f>SUM(E81:E83)</f>
        <v>585</v>
      </c>
      <c r="F84" s="52">
        <f>SUM(F81:F83)</f>
        <v>550</v>
      </c>
    </row>
  </sheetData>
  <dataConsolidate leftLabels="1" topLabels="1" link="1">
    <dataRefs count="3">
      <dataRef ref="G1:J21" sheet="Report 1"/>
      <dataRef ref="F3:I23" sheet="Report 2"/>
      <dataRef ref="A1:D21" sheet="Report 3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Consolidate rows</vt:lpstr>
      <vt:lpstr>Consolidate columns</vt:lpstr>
      <vt:lpstr>Report 1</vt:lpstr>
      <vt:lpstr>Report 2</vt:lpstr>
      <vt:lpstr>Report 3</vt:lpstr>
      <vt:lpstr>staic report</vt:lpstr>
      <vt:lpstr>Dynamic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 Cheusheva</dc:creator>
  <cp:lastModifiedBy>Abhay Dhamal</cp:lastModifiedBy>
  <dcterms:created xsi:type="dcterms:W3CDTF">2024-02-06T11:22:53Z</dcterms:created>
  <dcterms:modified xsi:type="dcterms:W3CDTF">2026-08-26T12:26:24Z</dcterms:modified>
</cp:coreProperties>
</file>